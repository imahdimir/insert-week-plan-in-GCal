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hdimir/GitHub/Insert-Week-Time-Plan-in-GCal/"/>
    </mc:Choice>
  </mc:AlternateContent>
  <xr:revisionPtr revIDLastSave="0" documentId="13_ncr:1_{1CAE1DBC-E88E-0B4B-BD69-BB6659B700A6}" xr6:coauthVersionLast="47" xr6:coauthVersionMax="47" xr10:uidLastSave="{00000000-0000-0000-0000-000000000000}"/>
  <bookViews>
    <workbookView xWindow="0" yWindow="500" windowWidth="38400" windowHeight="22220" activeTab="1" xr2:uid="{00000000-000D-0000-FFFF-FFFF00000000}"/>
  </bookViews>
  <sheets>
    <sheet name="perspective" sheetId="1" r:id="rId1"/>
    <sheet name="gcal" sheetId="84" r:id="rId2"/>
  </sheets>
  <definedNames>
    <definedName name="allfreetime" localSheetId="1">gcal!$BL$5:$BS$5</definedName>
    <definedName name="allfreetime">#REF!</definedName>
    <definedName name="defaultweek" localSheetId="1">gcal!$D$2:$AZ$97</definedName>
    <definedName name="defaultweek">#REF!</definedName>
    <definedName name="endofdayfree" localSheetId="1">gcal!$BL$6:$BM$6</definedName>
    <definedName name="endofdayfree">#REF!</definedName>
    <definedName name="FridayPlan">gcal!$AI$2:$AI$97</definedName>
    <definedName name="index" localSheetId="1">gcal!$B$1:$B$60</definedName>
    <definedName name="index">#REF!</definedName>
    <definedName name="indexname" localSheetId="1">gcal!$A$1:$A$60</definedName>
    <definedName name="indexname">#REF!</definedName>
    <definedName name="longfree" localSheetId="1">gcal!$BL$8</definedName>
    <definedName name="longfree">#REF!</definedName>
    <definedName name="MondayPlan">gcal!$G$2:$G$97</definedName>
    <definedName name="msecon" localSheetId="1">gcal!$BL$3:$BM$3</definedName>
    <definedName name="msecon">#REF!</definedName>
    <definedName name="pcexceptsleep" localSheetId="1">gcal!$BL$4:$CC$4</definedName>
    <definedName name="pcexceptsleep">#REF!</definedName>
    <definedName name="SaturdayPlan">gcal!$AP$2:$AP$97</definedName>
    <definedName name="sleep" localSheetId="1">gcal!$BL$7:$BM$7</definedName>
    <definedName name="sleep">#REF!</definedName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gcal!$G$59</definedName>
    <definedName name="solver_typ" localSheetId="1" hidden="1">1</definedName>
    <definedName name="solver_val" localSheetId="1" hidden="1">0</definedName>
    <definedName name="solver_ver" localSheetId="1" hidden="1">2</definedName>
    <definedName name="SundayPlan">gcal!$AW$2:$AW$97</definedName>
    <definedName name="ThursedayPlan">gcal!$AB$2:$AB$97</definedName>
    <definedName name="TuesdayPlan">gcal!$N$2:$N$97</definedName>
    <definedName name="WednesdayPlan">gcal!$U$2:$U$97</definedName>
  </definedNames>
  <calcPr calcId="191029"/>
</workbook>
</file>

<file path=xl/calcChain.xml><?xml version="1.0" encoding="utf-8"?>
<calcChain xmlns="http://schemas.openxmlformats.org/spreadsheetml/2006/main">
  <c r="AX2" i="84" l="1"/>
  <c r="AZ2" i="84" s="1"/>
  <c r="AX3" i="84"/>
  <c r="AZ3" i="84" s="1"/>
  <c r="AX4" i="84"/>
  <c r="AX5" i="84"/>
  <c r="AX6" i="84"/>
  <c r="AZ6" i="84" s="1"/>
  <c r="AX7" i="84"/>
  <c r="AZ7" i="84" s="1"/>
  <c r="AX8" i="84"/>
  <c r="AZ8" i="84" s="1"/>
  <c r="AX9" i="84"/>
  <c r="AZ9" i="84" s="1"/>
  <c r="AX10" i="84"/>
  <c r="AZ10" i="84" s="1"/>
  <c r="AX11" i="84"/>
  <c r="AZ11" i="84" s="1"/>
  <c r="AX12" i="84"/>
  <c r="AZ12" i="84" s="1"/>
  <c r="AX13" i="84"/>
  <c r="AX14" i="84"/>
  <c r="AZ14" i="84" s="1"/>
  <c r="AX15" i="84"/>
  <c r="AX16" i="84"/>
  <c r="AZ16" i="84" s="1"/>
  <c r="AX17" i="84"/>
  <c r="AZ17" i="84" s="1"/>
  <c r="AX18" i="84"/>
  <c r="AZ18" i="84" s="1"/>
  <c r="AX19" i="84"/>
  <c r="AZ19" i="84" s="1"/>
  <c r="AX20" i="84"/>
  <c r="AZ20" i="84" s="1"/>
  <c r="AX21" i="84"/>
  <c r="AZ21" i="84" s="1"/>
  <c r="AX22" i="84"/>
  <c r="AZ22" i="84" s="1"/>
  <c r="AX23" i="84"/>
  <c r="AZ23" i="84" s="1"/>
  <c r="AX24" i="84"/>
  <c r="AZ24" i="84" s="1"/>
  <c r="AX25" i="84"/>
  <c r="AZ25" i="84" s="1"/>
  <c r="AX26" i="84"/>
  <c r="AZ26" i="84" s="1"/>
  <c r="AX27" i="84"/>
  <c r="AZ27" i="84" s="1"/>
  <c r="AX28" i="84"/>
  <c r="AZ28" i="84" s="1"/>
  <c r="AX29" i="84"/>
  <c r="AZ29" i="84" s="1"/>
  <c r="AX30" i="84"/>
  <c r="AZ30" i="84" s="1"/>
  <c r="AX31" i="84"/>
  <c r="AZ31" i="84" s="1"/>
  <c r="AX32" i="84"/>
  <c r="AZ32" i="84" s="1"/>
  <c r="AX33" i="84"/>
  <c r="AZ33" i="84" s="1"/>
  <c r="AX34" i="84"/>
  <c r="AZ34" i="84" s="1"/>
  <c r="AX35" i="84"/>
  <c r="AZ35" i="84" s="1"/>
  <c r="AX36" i="84"/>
  <c r="AZ36" i="84" s="1"/>
  <c r="AX37" i="84"/>
  <c r="AZ37" i="84" s="1"/>
  <c r="AX38" i="84"/>
  <c r="AZ38" i="84" s="1"/>
  <c r="AX39" i="84"/>
  <c r="AZ39" i="84" s="1"/>
  <c r="AX40" i="84"/>
  <c r="AZ40" i="84" s="1"/>
  <c r="AX41" i="84"/>
  <c r="AZ41" i="84" s="1"/>
  <c r="AX42" i="84"/>
  <c r="AZ42" i="84" s="1"/>
  <c r="AX43" i="84"/>
  <c r="AZ43" i="84" s="1"/>
  <c r="AX44" i="84"/>
  <c r="AZ44" i="84" s="1"/>
  <c r="AX45" i="84"/>
  <c r="AZ45" i="84" s="1"/>
  <c r="AX46" i="84"/>
  <c r="AX47" i="84"/>
  <c r="AZ47" i="84" s="1"/>
  <c r="AX48" i="84"/>
  <c r="AZ48" i="84" s="1"/>
  <c r="AX49" i="84"/>
  <c r="AZ49" i="84" s="1"/>
  <c r="AX50" i="84"/>
  <c r="AZ50" i="84" s="1"/>
  <c r="AX51" i="84"/>
  <c r="AZ51" i="84" s="1"/>
  <c r="AX52" i="84"/>
  <c r="AZ52" i="84" s="1"/>
  <c r="AX53" i="84"/>
  <c r="AZ53" i="84" s="1"/>
  <c r="AX54" i="84"/>
  <c r="AZ54" i="84" s="1"/>
  <c r="AX55" i="84"/>
  <c r="AZ55" i="84" s="1"/>
  <c r="AX56" i="84"/>
  <c r="AZ56" i="84" s="1"/>
  <c r="AX57" i="84"/>
  <c r="AZ57" i="84" s="1"/>
  <c r="AX58" i="84"/>
  <c r="AZ58" i="84" s="1"/>
  <c r="AX59" i="84"/>
  <c r="AZ59" i="84" s="1"/>
  <c r="AX60" i="84"/>
  <c r="AZ60" i="84" s="1"/>
  <c r="AX61" i="84"/>
  <c r="AZ61" i="84" s="1"/>
  <c r="AX62" i="84"/>
  <c r="AX63" i="84"/>
  <c r="AX64" i="84"/>
  <c r="AZ64" i="84" s="1"/>
  <c r="AX65" i="84"/>
  <c r="AZ65" i="84" s="1"/>
  <c r="AX66" i="84"/>
  <c r="AZ66" i="84" s="1"/>
  <c r="AX67" i="84"/>
  <c r="AZ67" i="84" s="1"/>
  <c r="AX68" i="84"/>
  <c r="AZ68" i="84" s="1"/>
  <c r="AX69" i="84"/>
  <c r="AZ69" i="84" s="1"/>
  <c r="AX70" i="84"/>
  <c r="AZ70" i="84" s="1"/>
  <c r="AX71" i="84"/>
  <c r="AZ71" i="84" s="1"/>
  <c r="AX72" i="84"/>
  <c r="AZ72" i="84" s="1"/>
  <c r="AX73" i="84"/>
  <c r="AZ73" i="84" s="1"/>
  <c r="AX74" i="84"/>
  <c r="AZ74" i="84" s="1"/>
  <c r="AX75" i="84"/>
  <c r="AZ75" i="84" s="1"/>
  <c r="AX76" i="84"/>
  <c r="AZ76" i="84" s="1"/>
  <c r="AX77" i="84"/>
  <c r="AZ77" i="84" s="1"/>
  <c r="AX78" i="84"/>
  <c r="AZ78" i="84" s="1"/>
  <c r="AX79" i="84"/>
  <c r="AX80" i="84"/>
  <c r="AZ80" i="84" s="1"/>
  <c r="AX81" i="84"/>
  <c r="AZ81" i="84" s="1"/>
  <c r="AX82" i="84"/>
  <c r="AZ82" i="84" s="1"/>
  <c r="AX83" i="84"/>
  <c r="AZ83" i="84" s="1"/>
  <c r="AX84" i="84"/>
  <c r="AZ84" i="84" s="1"/>
  <c r="AX85" i="84"/>
  <c r="AZ85" i="84" s="1"/>
  <c r="AX86" i="84"/>
  <c r="AZ86" i="84" s="1"/>
  <c r="AX87" i="84"/>
  <c r="AZ87" i="84" s="1"/>
  <c r="AX88" i="84"/>
  <c r="AZ88" i="84" s="1"/>
  <c r="AX89" i="84"/>
  <c r="AZ89" i="84" s="1"/>
  <c r="AX90" i="84"/>
  <c r="AZ90" i="84" s="1"/>
  <c r="AX91" i="84"/>
  <c r="AZ91" i="84" s="1"/>
  <c r="AX92" i="84"/>
  <c r="AZ92" i="84" s="1"/>
  <c r="AX93" i="84"/>
  <c r="AZ93" i="84" s="1"/>
  <c r="AX94" i="84"/>
  <c r="AZ94" i="84" s="1"/>
  <c r="AX95" i="84"/>
  <c r="AZ95" i="84" s="1"/>
  <c r="AX96" i="84"/>
  <c r="AZ96" i="84" s="1"/>
  <c r="AX97" i="84"/>
  <c r="AY100" i="84"/>
  <c r="AW112" i="84"/>
  <c r="AY112" i="84" s="1"/>
  <c r="AP112" i="84"/>
  <c r="AI112" i="84"/>
  <c r="AB112" i="84"/>
  <c r="U112" i="84"/>
  <c r="N112" i="84"/>
  <c r="AW110" i="84"/>
  <c r="AY110" i="84" s="1"/>
  <c r="AP110" i="84"/>
  <c r="AI110" i="84"/>
  <c r="AB110" i="84"/>
  <c r="U110" i="84"/>
  <c r="N110" i="84"/>
  <c r="AW106" i="84"/>
  <c r="AY106" i="84" s="1"/>
  <c r="AP106" i="84"/>
  <c r="AI106" i="84"/>
  <c r="AB106" i="84"/>
  <c r="U106" i="84"/>
  <c r="N106" i="84"/>
  <c r="AW105" i="84"/>
  <c r="AY105" i="84" s="1"/>
  <c r="AP105" i="84"/>
  <c r="AI105" i="84"/>
  <c r="AB105" i="84"/>
  <c r="U105" i="84"/>
  <c r="N105" i="84"/>
  <c r="AW103" i="84"/>
  <c r="AY103" i="84" s="1"/>
  <c r="AP103" i="84"/>
  <c r="AI103" i="84"/>
  <c r="AB103" i="84"/>
  <c r="U103" i="84"/>
  <c r="N103" i="84"/>
  <c r="AW101" i="84"/>
  <c r="AY101" i="84" s="1"/>
  <c r="AP101" i="84"/>
  <c r="AI101" i="84"/>
  <c r="AB101" i="84"/>
  <c r="U101" i="84"/>
  <c r="N101" i="84"/>
  <c r="BF97" i="84"/>
  <c r="BD97" i="84"/>
  <c r="AZ97" i="84"/>
  <c r="AQ97" i="84"/>
  <c r="AS97" i="84" s="1"/>
  <c r="AJ97" i="84"/>
  <c r="AL97" i="84" s="1"/>
  <c r="AC97" i="84"/>
  <c r="AE97" i="84" s="1"/>
  <c r="V97" i="84"/>
  <c r="X97" i="84" s="1"/>
  <c r="O97" i="84"/>
  <c r="Q97" i="84" s="1"/>
  <c r="H97" i="84"/>
  <c r="BE97" i="84" s="1"/>
  <c r="BF96" i="84"/>
  <c r="BD96" i="84"/>
  <c r="AQ96" i="84"/>
  <c r="AS96" i="84" s="1"/>
  <c r="AJ96" i="84"/>
  <c r="AL96" i="84" s="1"/>
  <c r="AC96" i="84"/>
  <c r="AE96" i="84" s="1"/>
  <c r="V96" i="84"/>
  <c r="X96" i="84" s="1"/>
  <c r="O96" i="84"/>
  <c r="Q96" i="84" s="1"/>
  <c r="H96" i="84"/>
  <c r="BE96" i="84" s="1"/>
  <c r="BF95" i="84"/>
  <c r="BD95" i="84"/>
  <c r="AQ95" i="84"/>
  <c r="AS95" i="84" s="1"/>
  <c r="AJ95" i="84"/>
  <c r="AL95" i="84" s="1"/>
  <c r="AC95" i="84"/>
  <c r="AE95" i="84" s="1"/>
  <c r="V95" i="84"/>
  <c r="X95" i="84" s="1"/>
  <c r="O95" i="84"/>
  <c r="Q95" i="84" s="1"/>
  <c r="H95" i="84"/>
  <c r="BE95" i="84" s="1"/>
  <c r="BF94" i="84"/>
  <c r="BD94" i="84"/>
  <c r="AQ94" i="84"/>
  <c r="AS94" i="84" s="1"/>
  <c r="AJ94" i="84"/>
  <c r="AL94" i="84" s="1"/>
  <c r="AC94" i="84"/>
  <c r="AE94" i="84" s="1"/>
  <c r="V94" i="84"/>
  <c r="X94" i="84" s="1"/>
  <c r="O94" i="84"/>
  <c r="Q94" i="84" s="1"/>
  <c r="H94" i="84"/>
  <c r="BE94" i="84" s="1"/>
  <c r="BF93" i="84"/>
  <c r="BD93" i="84"/>
  <c r="AQ93" i="84"/>
  <c r="AS93" i="84" s="1"/>
  <c r="AJ93" i="84"/>
  <c r="AL93" i="84" s="1"/>
  <c r="AC93" i="84"/>
  <c r="AE93" i="84" s="1"/>
  <c r="V93" i="84"/>
  <c r="X93" i="84" s="1"/>
  <c r="O93" i="84"/>
  <c r="Q93" i="84" s="1"/>
  <c r="H93" i="84"/>
  <c r="BE93" i="84" s="1"/>
  <c r="BF92" i="84"/>
  <c r="BD92" i="84"/>
  <c r="AQ92" i="84"/>
  <c r="AS92" i="84" s="1"/>
  <c r="AJ92" i="84"/>
  <c r="AL92" i="84" s="1"/>
  <c r="AC92" i="84"/>
  <c r="AE92" i="84" s="1"/>
  <c r="V92" i="84"/>
  <c r="X92" i="84" s="1"/>
  <c r="O92" i="84"/>
  <c r="Q92" i="84" s="1"/>
  <c r="H92" i="84"/>
  <c r="J92" i="84" s="1"/>
  <c r="BG92" i="84" s="1"/>
  <c r="BF91" i="84"/>
  <c r="BD91" i="84"/>
  <c r="AQ91" i="84"/>
  <c r="AS91" i="84" s="1"/>
  <c r="AJ91" i="84"/>
  <c r="AL91" i="84" s="1"/>
  <c r="AC91" i="84"/>
  <c r="AE91" i="84" s="1"/>
  <c r="V91" i="84"/>
  <c r="X91" i="84" s="1"/>
  <c r="O91" i="84"/>
  <c r="Q91" i="84" s="1"/>
  <c r="H91" i="84"/>
  <c r="BE91" i="84" s="1"/>
  <c r="BF90" i="84"/>
  <c r="BD90" i="84"/>
  <c r="AQ90" i="84"/>
  <c r="AS90" i="84" s="1"/>
  <c r="AJ90" i="84"/>
  <c r="AL90" i="84" s="1"/>
  <c r="AC90" i="84"/>
  <c r="AE90" i="84" s="1"/>
  <c r="V90" i="84"/>
  <c r="X90" i="84" s="1"/>
  <c r="O90" i="84"/>
  <c r="Q90" i="84" s="1"/>
  <c r="H90" i="84"/>
  <c r="BE90" i="84" s="1"/>
  <c r="BF89" i="84"/>
  <c r="BD89" i="84"/>
  <c r="AQ89" i="84"/>
  <c r="AS89" i="84" s="1"/>
  <c r="AJ89" i="84"/>
  <c r="AL89" i="84" s="1"/>
  <c r="AC89" i="84"/>
  <c r="AE89" i="84" s="1"/>
  <c r="V89" i="84"/>
  <c r="X89" i="84" s="1"/>
  <c r="O89" i="84"/>
  <c r="Q89" i="84" s="1"/>
  <c r="H89" i="84"/>
  <c r="J89" i="84" s="1"/>
  <c r="BG89" i="84" s="1"/>
  <c r="BF88" i="84"/>
  <c r="BD88" i="84"/>
  <c r="AQ88" i="84"/>
  <c r="AS88" i="84" s="1"/>
  <c r="AJ88" i="84"/>
  <c r="AL88" i="84" s="1"/>
  <c r="AC88" i="84"/>
  <c r="AE88" i="84" s="1"/>
  <c r="V88" i="84"/>
  <c r="X88" i="84" s="1"/>
  <c r="O88" i="84"/>
  <c r="Q88" i="84" s="1"/>
  <c r="H88" i="84"/>
  <c r="J88" i="84" s="1"/>
  <c r="BG88" i="84" s="1"/>
  <c r="BF87" i="84"/>
  <c r="BD87" i="84"/>
  <c r="AQ87" i="84"/>
  <c r="AS87" i="84" s="1"/>
  <c r="AJ87" i="84"/>
  <c r="AL87" i="84" s="1"/>
  <c r="AC87" i="84"/>
  <c r="AE87" i="84" s="1"/>
  <c r="V87" i="84"/>
  <c r="X87" i="84" s="1"/>
  <c r="O87" i="84"/>
  <c r="Q87" i="84" s="1"/>
  <c r="H87" i="84"/>
  <c r="BE87" i="84" s="1"/>
  <c r="BF86" i="84"/>
  <c r="BD86" i="84"/>
  <c r="AQ86" i="84"/>
  <c r="AS86" i="84" s="1"/>
  <c r="AJ86" i="84"/>
  <c r="AL86" i="84" s="1"/>
  <c r="AC86" i="84"/>
  <c r="AE86" i="84" s="1"/>
  <c r="V86" i="84"/>
  <c r="X86" i="84" s="1"/>
  <c r="O86" i="84"/>
  <c r="Q86" i="84" s="1"/>
  <c r="H86" i="84"/>
  <c r="BE86" i="84" s="1"/>
  <c r="BF85" i="84"/>
  <c r="BD85" i="84"/>
  <c r="AQ85" i="84"/>
  <c r="AS85" i="84" s="1"/>
  <c r="AJ85" i="84"/>
  <c r="AL85" i="84" s="1"/>
  <c r="AC85" i="84"/>
  <c r="AE85" i="84" s="1"/>
  <c r="V85" i="84"/>
  <c r="X85" i="84" s="1"/>
  <c r="O85" i="84"/>
  <c r="Q85" i="84" s="1"/>
  <c r="H85" i="84"/>
  <c r="J85" i="84" s="1"/>
  <c r="BG85" i="84" s="1"/>
  <c r="BF84" i="84"/>
  <c r="BD84" i="84"/>
  <c r="AQ84" i="84"/>
  <c r="AS84" i="84" s="1"/>
  <c r="AJ84" i="84"/>
  <c r="AL84" i="84" s="1"/>
  <c r="AC84" i="84"/>
  <c r="AE84" i="84" s="1"/>
  <c r="V84" i="84"/>
  <c r="X84" i="84" s="1"/>
  <c r="O84" i="84"/>
  <c r="Q84" i="84" s="1"/>
  <c r="H84" i="84"/>
  <c r="J84" i="84" s="1"/>
  <c r="BG84" i="84" s="1"/>
  <c r="BF83" i="84"/>
  <c r="BD83" i="84"/>
  <c r="AQ83" i="84"/>
  <c r="AS83" i="84" s="1"/>
  <c r="AJ83" i="84"/>
  <c r="AL83" i="84" s="1"/>
  <c r="AC83" i="84"/>
  <c r="AE83" i="84" s="1"/>
  <c r="V83" i="84"/>
  <c r="X83" i="84" s="1"/>
  <c r="O83" i="84"/>
  <c r="Q83" i="84" s="1"/>
  <c r="H83" i="84"/>
  <c r="BE83" i="84" s="1"/>
  <c r="BF82" i="84"/>
  <c r="BD82" i="84"/>
  <c r="AQ82" i="84"/>
  <c r="AS82" i="84" s="1"/>
  <c r="AJ82" i="84"/>
  <c r="AL82" i="84" s="1"/>
  <c r="AC82" i="84"/>
  <c r="AE82" i="84" s="1"/>
  <c r="V82" i="84"/>
  <c r="X82" i="84" s="1"/>
  <c r="O82" i="84"/>
  <c r="Q82" i="84" s="1"/>
  <c r="H82" i="84"/>
  <c r="BE82" i="84" s="1"/>
  <c r="BF81" i="84"/>
  <c r="BD81" i="84"/>
  <c r="AQ81" i="84"/>
  <c r="AS81" i="84" s="1"/>
  <c r="AJ81" i="84"/>
  <c r="AL81" i="84" s="1"/>
  <c r="AC81" i="84"/>
  <c r="AE81" i="84" s="1"/>
  <c r="V81" i="84"/>
  <c r="X81" i="84" s="1"/>
  <c r="O81" i="84"/>
  <c r="Q81" i="84" s="1"/>
  <c r="H81" i="84"/>
  <c r="J81" i="84" s="1"/>
  <c r="BG81" i="84" s="1"/>
  <c r="BF80" i="84"/>
  <c r="BD80" i="84"/>
  <c r="AQ80" i="84"/>
  <c r="AS80" i="84" s="1"/>
  <c r="AJ80" i="84"/>
  <c r="AL80" i="84" s="1"/>
  <c r="AC80" i="84"/>
  <c r="AE80" i="84" s="1"/>
  <c r="V80" i="84"/>
  <c r="X80" i="84" s="1"/>
  <c r="O80" i="84"/>
  <c r="Q80" i="84" s="1"/>
  <c r="H80" i="84"/>
  <c r="J80" i="84" s="1"/>
  <c r="BG80" i="84" s="1"/>
  <c r="BF79" i="84"/>
  <c r="BD79" i="84"/>
  <c r="AZ79" i="84"/>
  <c r="AQ79" i="84"/>
  <c r="AS79" i="84" s="1"/>
  <c r="AJ79" i="84"/>
  <c r="AL79" i="84" s="1"/>
  <c r="AC79" i="84"/>
  <c r="AE79" i="84" s="1"/>
  <c r="V79" i="84"/>
  <c r="X79" i="84" s="1"/>
  <c r="O79" i="84"/>
  <c r="Q79" i="84" s="1"/>
  <c r="H79" i="84"/>
  <c r="BF78" i="84"/>
  <c r="BD78" i="84"/>
  <c r="AQ78" i="84"/>
  <c r="AS78" i="84" s="1"/>
  <c r="AJ78" i="84"/>
  <c r="AL78" i="84" s="1"/>
  <c r="AC78" i="84"/>
  <c r="AE78" i="84" s="1"/>
  <c r="V78" i="84"/>
  <c r="X78" i="84" s="1"/>
  <c r="O78" i="84"/>
  <c r="Q78" i="84" s="1"/>
  <c r="H78" i="84"/>
  <c r="J78" i="84" s="1"/>
  <c r="BG78" i="84" s="1"/>
  <c r="BF77" i="84"/>
  <c r="BD77" i="84"/>
  <c r="AQ77" i="84"/>
  <c r="AS77" i="84" s="1"/>
  <c r="AJ77" i="84"/>
  <c r="AL77" i="84" s="1"/>
  <c r="AC77" i="84"/>
  <c r="AE77" i="84" s="1"/>
  <c r="V77" i="84"/>
  <c r="X77" i="84" s="1"/>
  <c r="O77" i="84"/>
  <c r="Q77" i="84" s="1"/>
  <c r="H77" i="84"/>
  <c r="BE77" i="84" s="1"/>
  <c r="BF76" i="84"/>
  <c r="BD76" i="84"/>
  <c r="AQ76" i="84"/>
  <c r="AS76" i="84" s="1"/>
  <c r="AJ76" i="84"/>
  <c r="AL76" i="84" s="1"/>
  <c r="AC76" i="84"/>
  <c r="AE76" i="84" s="1"/>
  <c r="V76" i="84"/>
  <c r="X76" i="84" s="1"/>
  <c r="O76" i="84"/>
  <c r="Q76" i="84" s="1"/>
  <c r="H76" i="84"/>
  <c r="J76" i="84" s="1"/>
  <c r="BG76" i="84" s="1"/>
  <c r="BF75" i="84"/>
  <c r="BD75" i="84"/>
  <c r="AQ75" i="84"/>
  <c r="AS75" i="84" s="1"/>
  <c r="AJ75" i="84"/>
  <c r="AL75" i="84" s="1"/>
  <c r="AC75" i="84"/>
  <c r="AE75" i="84" s="1"/>
  <c r="V75" i="84"/>
  <c r="X75" i="84" s="1"/>
  <c r="O75" i="84"/>
  <c r="Q75" i="84" s="1"/>
  <c r="H75" i="84"/>
  <c r="BE75" i="84" s="1"/>
  <c r="BF74" i="84"/>
  <c r="BD74" i="84"/>
  <c r="AQ74" i="84"/>
  <c r="AS74" i="84" s="1"/>
  <c r="AJ74" i="84"/>
  <c r="AL74" i="84" s="1"/>
  <c r="AC74" i="84"/>
  <c r="AE74" i="84" s="1"/>
  <c r="V74" i="84"/>
  <c r="X74" i="84" s="1"/>
  <c r="O74" i="84"/>
  <c r="Q74" i="84" s="1"/>
  <c r="H74" i="84"/>
  <c r="BE74" i="84" s="1"/>
  <c r="BF73" i="84"/>
  <c r="BD73" i="84"/>
  <c r="AQ73" i="84"/>
  <c r="AS73" i="84" s="1"/>
  <c r="AJ73" i="84"/>
  <c r="AL73" i="84" s="1"/>
  <c r="AC73" i="84"/>
  <c r="AE73" i="84" s="1"/>
  <c r="V73" i="84"/>
  <c r="X73" i="84" s="1"/>
  <c r="O73" i="84"/>
  <c r="Q73" i="84" s="1"/>
  <c r="H73" i="84"/>
  <c r="BE73" i="84" s="1"/>
  <c r="BF72" i="84"/>
  <c r="BD72" i="84"/>
  <c r="AQ72" i="84"/>
  <c r="AS72" i="84" s="1"/>
  <c r="AJ72" i="84"/>
  <c r="AL72" i="84" s="1"/>
  <c r="AC72" i="84"/>
  <c r="AE72" i="84" s="1"/>
  <c r="V72" i="84"/>
  <c r="X72" i="84" s="1"/>
  <c r="O72" i="84"/>
  <c r="Q72" i="84" s="1"/>
  <c r="H72" i="84"/>
  <c r="J72" i="84" s="1"/>
  <c r="BG72" i="84" s="1"/>
  <c r="BF71" i="84"/>
  <c r="BD71" i="84"/>
  <c r="AQ71" i="84"/>
  <c r="AS71" i="84" s="1"/>
  <c r="AJ71" i="84"/>
  <c r="AL71" i="84" s="1"/>
  <c r="AC71" i="84"/>
  <c r="AE71" i="84" s="1"/>
  <c r="V71" i="84"/>
  <c r="X71" i="84" s="1"/>
  <c r="O71" i="84"/>
  <c r="Q71" i="84" s="1"/>
  <c r="H71" i="84"/>
  <c r="BE71" i="84" s="1"/>
  <c r="BF70" i="84"/>
  <c r="BD70" i="84"/>
  <c r="AQ70" i="84"/>
  <c r="AS70" i="84" s="1"/>
  <c r="AJ70" i="84"/>
  <c r="AL70" i="84" s="1"/>
  <c r="AC70" i="84"/>
  <c r="AE70" i="84" s="1"/>
  <c r="V70" i="84"/>
  <c r="X70" i="84" s="1"/>
  <c r="O70" i="84"/>
  <c r="Q70" i="84" s="1"/>
  <c r="H70" i="84"/>
  <c r="BE70" i="84" s="1"/>
  <c r="BF69" i="84"/>
  <c r="BD69" i="84"/>
  <c r="AQ69" i="84"/>
  <c r="AS69" i="84" s="1"/>
  <c r="AJ69" i="84"/>
  <c r="AL69" i="84" s="1"/>
  <c r="AC69" i="84"/>
  <c r="AE69" i="84" s="1"/>
  <c r="V69" i="84"/>
  <c r="X69" i="84" s="1"/>
  <c r="O69" i="84"/>
  <c r="Q69" i="84" s="1"/>
  <c r="H69" i="84"/>
  <c r="BE69" i="84" s="1"/>
  <c r="BF68" i="84"/>
  <c r="BD68" i="84"/>
  <c r="AQ68" i="84"/>
  <c r="AS68" i="84" s="1"/>
  <c r="AJ68" i="84"/>
  <c r="AL68" i="84" s="1"/>
  <c r="AC68" i="84"/>
  <c r="AE68" i="84" s="1"/>
  <c r="V68" i="84"/>
  <c r="X68" i="84" s="1"/>
  <c r="O68" i="84"/>
  <c r="Q68" i="84" s="1"/>
  <c r="H68" i="84"/>
  <c r="J68" i="84" s="1"/>
  <c r="BG68" i="84" s="1"/>
  <c r="BF67" i="84"/>
  <c r="BD67" i="84"/>
  <c r="AQ67" i="84"/>
  <c r="AS67" i="84" s="1"/>
  <c r="AJ67" i="84"/>
  <c r="AL67" i="84" s="1"/>
  <c r="AC67" i="84"/>
  <c r="AE67" i="84" s="1"/>
  <c r="V67" i="84"/>
  <c r="X67" i="84" s="1"/>
  <c r="O67" i="84"/>
  <c r="Q67" i="84" s="1"/>
  <c r="H67" i="84"/>
  <c r="BE67" i="84" s="1"/>
  <c r="BF66" i="84"/>
  <c r="BD66" i="84"/>
  <c r="AQ66" i="84"/>
  <c r="AS66" i="84" s="1"/>
  <c r="AJ66" i="84"/>
  <c r="AL66" i="84" s="1"/>
  <c r="AC66" i="84"/>
  <c r="AE66" i="84" s="1"/>
  <c r="V66" i="84"/>
  <c r="X66" i="84" s="1"/>
  <c r="O66" i="84"/>
  <c r="Q66" i="84" s="1"/>
  <c r="H66" i="84"/>
  <c r="BE66" i="84" s="1"/>
  <c r="BF65" i="84"/>
  <c r="BD65" i="84"/>
  <c r="AQ65" i="84"/>
  <c r="AS65" i="84" s="1"/>
  <c r="AJ65" i="84"/>
  <c r="AL65" i="84" s="1"/>
  <c r="AC65" i="84"/>
  <c r="AE65" i="84" s="1"/>
  <c r="V65" i="84"/>
  <c r="X65" i="84" s="1"/>
  <c r="O65" i="84"/>
  <c r="Q65" i="84" s="1"/>
  <c r="H65" i="84"/>
  <c r="BE65" i="84" s="1"/>
  <c r="BF64" i="84"/>
  <c r="BD64" i="84"/>
  <c r="AQ64" i="84"/>
  <c r="AS64" i="84" s="1"/>
  <c r="AJ64" i="84"/>
  <c r="AL64" i="84" s="1"/>
  <c r="AC64" i="84"/>
  <c r="AE64" i="84" s="1"/>
  <c r="V64" i="84"/>
  <c r="X64" i="84" s="1"/>
  <c r="O64" i="84"/>
  <c r="Q64" i="84" s="1"/>
  <c r="H64" i="84"/>
  <c r="J64" i="84" s="1"/>
  <c r="BG64" i="84" s="1"/>
  <c r="BF63" i="84"/>
  <c r="BD63" i="84"/>
  <c r="AZ63" i="84"/>
  <c r="AQ63" i="84"/>
  <c r="AS63" i="84" s="1"/>
  <c r="AJ63" i="84"/>
  <c r="AL63" i="84" s="1"/>
  <c r="AC63" i="84"/>
  <c r="AE63" i="84" s="1"/>
  <c r="V63" i="84"/>
  <c r="X63" i="84" s="1"/>
  <c r="O63" i="84"/>
  <c r="Q63" i="84" s="1"/>
  <c r="H63" i="84"/>
  <c r="BE63" i="84" s="1"/>
  <c r="BF62" i="84"/>
  <c r="BD62" i="84"/>
  <c r="AZ62" i="84"/>
  <c r="AQ62" i="84"/>
  <c r="AS62" i="84" s="1"/>
  <c r="AJ62" i="84"/>
  <c r="AL62" i="84" s="1"/>
  <c r="AC62" i="84"/>
  <c r="AE62" i="84" s="1"/>
  <c r="V62" i="84"/>
  <c r="X62" i="84" s="1"/>
  <c r="O62" i="84"/>
  <c r="Q62" i="84" s="1"/>
  <c r="H62" i="84"/>
  <c r="BE62" i="84" s="1"/>
  <c r="BF61" i="84"/>
  <c r="BD61" i="84"/>
  <c r="AQ61" i="84"/>
  <c r="AS61" i="84" s="1"/>
  <c r="AJ61" i="84"/>
  <c r="AL61" i="84" s="1"/>
  <c r="AC61" i="84"/>
  <c r="AE61" i="84" s="1"/>
  <c r="V61" i="84"/>
  <c r="X61" i="84" s="1"/>
  <c r="O61" i="84"/>
  <c r="Q61" i="84" s="1"/>
  <c r="H61" i="84"/>
  <c r="BE61" i="84" s="1"/>
  <c r="BF60" i="84"/>
  <c r="BD60" i="84"/>
  <c r="AQ60" i="84"/>
  <c r="AS60" i="84" s="1"/>
  <c r="AJ60" i="84"/>
  <c r="AL60" i="84" s="1"/>
  <c r="AC60" i="84"/>
  <c r="AE60" i="84" s="1"/>
  <c r="V60" i="84"/>
  <c r="X60" i="84" s="1"/>
  <c r="O60" i="84"/>
  <c r="Q60" i="84" s="1"/>
  <c r="H60" i="84"/>
  <c r="J60" i="84" s="1"/>
  <c r="BG60" i="84" s="1"/>
  <c r="BF59" i="84"/>
  <c r="BD59" i="84"/>
  <c r="AQ59" i="84"/>
  <c r="AS59" i="84" s="1"/>
  <c r="AJ59" i="84"/>
  <c r="AL59" i="84" s="1"/>
  <c r="AC59" i="84"/>
  <c r="AE59" i="84" s="1"/>
  <c r="V59" i="84"/>
  <c r="X59" i="84" s="1"/>
  <c r="O59" i="84"/>
  <c r="Q59" i="84" s="1"/>
  <c r="H59" i="84"/>
  <c r="BE59" i="84" s="1"/>
  <c r="BF58" i="84"/>
  <c r="BD58" i="84"/>
  <c r="AQ58" i="84"/>
  <c r="AS58" i="84" s="1"/>
  <c r="AJ58" i="84"/>
  <c r="AL58" i="84" s="1"/>
  <c r="AC58" i="84"/>
  <c r="AE58" i="84" s="1"/>
  <c r="V58" i="84"/>
  <c r="X58" i="84" s="1"/>
  <c r="O58" i="84"/>
  <c r="Q58" i="84" s="1"/>
  <c r="H58" i="84"/>
  <c r="BE58" i="84" s="1"/>
  <c r="BF57" i="84"/>
  <c r="BD57" i="84"/>
  <c r="AQ57" i="84"/>
  <c r="AS57" i="84" s="1"/>
  <c r="AJ57" i="84"/>
  <c r="AL57" i="84" s="1"/>
  <c r="AC57" i="84"/>
  <c r="AE57" i="84" s="1"/>
  <c r="V57" i="84"/>
  <c r="X57" i="84" s="1"/>
  <c r="O57" i="84"/>
  <c r="Q57" i="84" s="1"/>
  <c r="H57" i="84"/>
  <c r="J57" i="84" s="1"/>
  <c r="BG57" i="84" s="1"/>
  <c r="BF56" i="84"/>
  <c r="BD56" i="84"/>
  <c r="AQ56" i="84"/>
  <c r="AS56" i="84" s="1"/>
  <c r="AJ56" i="84"/>
  <c r="AL56" i="84" s="1"/>
  <c r="AC56" i="84"/>
  <c r="AE56" i="84" s="1"/>
  <c r="V56" i="84"/>
  <c r="X56" i="84" s="1"/>
  <c r="O56" i="84"/>
  <c r="Q56" i="84" s="1"/>
  <c r="H56" i="84"/>
  <c r="BE56" i="84" s="1"/>
  <c r="BF55" i="84"/>
  <c r="BD55" i="84"/>
  <c r="AQ55" i="84"/>
  <c r="AS55" i="84" s="1"/>
  <c r="AJ55" i="84"/>
  <c r="AL55" i="84" s="1"/>
  <c r="AC55" i="84"/>
  <c r="AE55" i="84" s="1"/>
  <c r="V55" i="84"/>
  <c r="X55" i="84" s="1"/>
  <c r="O55" i="84"/>
  <c r="Q55" i="84" s="1"/>
  <c r="H55" i="84"/>
  <c r="BE55" i="84" s="1"/>
  <c r="BF54" i="84"/>
  <c r="BD54" i="84"/>
  <c r="AQ54" i="84"/>
  <c r="AS54" i="84" s="1"/>
  <c r="AJ54" i="84"/>
  <c r="AL54" i="84" s="1"/>
  <c r="AC54" i="84"/>
  <c r="AE54" i="84" s="1"/>
  <c r="V54" i="84"/>
  <c r="X54" i="84" s="1"/>
  <c r="O54" i="84"/>
  <c r="Q54" i="84" s="1"/>
  <c r="H54" i="84"/>
  <c r="BE54" i="84" s="1"/>
  <c r="BF53" i="84"/>
  <c r="BD53" i="84"/>
  <c r="AQ53" i="84"/>
  <c r="AS53" i="84" s="1"/>
  <c r="AJ53" i="84"/>
  <c r="AL53" i="84" s="1"/>
  <c r="AC53" i="84"/>
  <c r="AE53" i="84" s="1"/>
  <c r="V53" i="84"/>
  <c r="X53" i="84" s="1"/>
  <c r="O53" i="84"/>
  <c r="Q53" i="84" s="1"/>
  <c r="H53" i="84"/>
  <c r="J53" i="84" s="1"/>
  <c r="BG53" i="84" s="1"/>
  <c r="BF52" i="84"/>
  <c r="BD52" i="84"/>
  <c r="AQ52" i="84"/>
  <c r="AS52" i="84" s="1"/>
  <c r="AJ52" i="84"/>
  <c r="AL52" i="84" s="1"/>
  <c r="AC52" i="84"/>
  <c r="AE52" i="84" s="1"/>
  <c r="V52" i="84"/>
  <c r="X52" i="84" s="1"/>
  <c r="O52" i="84"/>
  <c r="Q52" i="84" s="1"/>
  <c r="H52" i="84"/>
  <c r="BE52" i="84" s="1"/>
  <c r="BF51" i="84"/>
  <c r="BD51" i="84"/>
  <c r="AQ51" i="84"/>
  <c r="AS51" i="84" s="1"/>
  <c r="AJ51" i="84"/>
  <c r="AL51" i="84" s="1"/>
  <c r="AC51" i="84"/>
  <c r="AE51" i="84" s="1"/>
  <c r="V51" i="84"/>
  <c r="X51" i="84" s="1"/>
  <c r="O51" i="84"/>
  <c r="Q51" i="84" s="1"/>
  <c r="H51" i="84"/>
  <c r="BE51" i="84" s="1"/>
  <c r="BF50" i="84"/>
  <c r="BD50" i="84"/>
  <c r="AQ50" i="84"/>
  <c r="AS50" i="84" s="1"/>
  <c r="AJ50" i="84"/>
  <c r="AL50" i="84" s="1"/>
  <c r="AC50" i="84"/>
  <c r="AE50" i="84" s="1"/>
  <c r="V50" i="84"/>
  <c r="X50" i="84" s="1"/>
  <c r="O50" i="84"/>
  <c r="Q50" i="84" s="1"/>
  <c r="H50" i="84"/>
  <c r="J50" i="84" s="1"/>
  <c r="BG50" i="84" s="1"/>
  <c r="BF49" i="84"/>
  <c r="BD49" i="84"/>
  <c r="AQ49" i="84"/>
  <c r="AS49" i="84" s="1"/>
  <c r="AJ49" i="84"/>
  <c r="AL49" i="84" s="1"/>
  <c r="AC49" i="84"/>
  <c r="AE49" i="84" s="1"/>
  <c r="V49" i="84"/>
  <c r="X49" i="84" s="1"/>
  <c r="O49" i="84"/>
  <c r="Q49" i="84" s="1"/>
  <c r="H49" i="84"/>
  <c r="J49" i="84" s="1"/>
  <c r="BG49" i="84" s="1"/>
  <c r="BF48" i="84"/>
  <c r="BD48" i="84"/>
  <c r="AQ48" i="84"/>
  <c r="AS48" i="84" s="1"/>
  <c r="AJ48" i="84"/>
  <c r="AL48" i="84" s="1"/>
  <c r="AC48" i="84"/>
  <c r="AE48" i="84" s="1"/>
  <c r="V48" i="84"/>
  <c r="X48" i="84" s="1"/>
  <c r="O48" i="84"/>
  <c r="Q48" i="84" s="1"/>
  <c r="H48" i="84"/>
  <c r="BE48" i="84" s="1"/>
  <c r="BF47" i="84"/>
  <c r="BD47" i="84"/>
  <c r="AQ47" i="84"/>
  <c r="AS47" i="84" s="1"/>
  <c r="AJ47" i="84"/>
  <c r="AL47" i="84" s="1"/>
  <c r="AC47" i="84"/>
  <c r="AE47" i="84" s="1"/>
  <c r="V47" i="84"/>
  <c r="X47" i="84" s="1"/>
  <c r="O47" i="84"/>
  <c r="Q47" i="84" s="1"/>
  <c r="H47" i="84"/>
  <c r="BE47" i="84" s="1"/>
  <c r="BF46" i="84"/>
  <c r="BD46" i="84"/>
  <c r="AZ46" i="84"/>
  <c r="AQ46" i="84"/>
  <c r="AS46" i="84" s="1"/>
  <c r="AJ46" i="84"/>
  <c r="AL46" i="84" s="1"/>
  <c r="AC46" i="84"/>
  <c r="AE46" i="84" s="1"/>
  <c r="V46" i="84"/>
  <c r="X46" i="84" s="1"/>
  <c r="O46" i="84"/>
  <c r="Q46" i="84" s="1"/>
  <c r="H46" i="84"/>
  <c r="J46" i="84" s="1"/>
  <c r="BG46" i="84" s="1"/>
  <c r="BF45" i="84"/>
  <c r="BD45" i="84"/>
  <c r="AQ45" i="84"/>
  <c r="AS45" i="84" s="1"/>
  <c r="AJ45" i="84"/>
  <c r="AL45" i="84" s="1"/>
  <c r="AC45" i="84"/>
  <c r="AE45" i="84" s="1"/>
  <c r="V45" i="84"/>
  <c r="X45" i="84" s="1"/>
  <c r="O45" i="84"/>
  <c r="Q45" i="84" s="1"/>
  <c r="H45" i="84"/>
  <c r="J45" i="84" s="1"/>
  <c r="BG45" i="84" s="1"/>
  <c r="BF44" i="84"/>
  <c r="BD44" i="84"/>
  <c r="AQ44" i="84"/>
  <c r="AS44" i="84" s="1"/>
  <c r="AJ44" i="84"/>
  <c r="AL44" i="84" s="1"/>
  <c r="AC44" i="84"/>
  <c r="AE44" i="84" s="1"/>
  <c r="V44" i="84"/>
  <c r="X44" i="84" s="1"/>
  <c r="O44" i="84"/>
  <c r="Q44" i="84" s="1"/>
  <c r="H44" i="84"/>
  <c r="BE44" i="84" s="1"/>
  <c r="BF43" i="84"/>
  <c r="BD43" i="84"/>
  <c r="AQ43" i="84"/>
  <c r="AS43" i="84" s="1"/>
  <c r="AJ43" i="84"/>
  <c r="AL43" i="84" s="1"/>
  <c r="AC43" i="84"/>
  <c r="AE43" i="84" s="1"/>
  <c r="V43" i="84"/>
  <c r="X43" i="84" s="1"/>
  <c r="O43" i="84"/>
  <c r="Q43" i="84" s="1"/>
  <c r="H43" i="84"/>
  <c r="BE43" i="84" s="1"/>
  <c r="BF42" i="84"/>
  <c r="BD42" i="84"/>
  <c r="AQ42" i="84"/>
  <c r="AS42" i="84" s="1"/>
  <c r="AJ42" i="84"/>
  <c r="AL42" i="84" s="1"/>
  <c r="AC42" i="84"/>
  <c r="AE42" i="84" s="1"/>
  <c r="V42" i="84"/>
  <c r="X42" i="84" s="1"/>
  <c r="O42" i="84"/>
  <c r="Q42" i="84" s="1"/>
  <c r="H42" i="84"/>
  <c r="J42" i="84" s="1"/>
  <c r="BG42" i="84" s="1"/>
  <c r="BF41" i="84"/>
  <c r="BD41" i="84"/>
  <c r="AQ41" i="84"/>
  <c r="AS41" i="84" s="1"/>
  <c r="AJ41" i="84"/>
  <c r="AL41" i="84" s="1"/>
  <c r="AC41" i="84"/>
  <c r="AE41" i="84" s="1"/>
  <c r="V41" i="84"/>
  <c r="X41" i="84" s="1"/>
  <c r="O41" i="84"/>
  <c r="Q41" i="84" s="1"/>
  <c r="H41" i="84"/>
  <c r="J41" i="84" s="1"/>
  <c r="BG41" i="84" s="1"/>
  <c r="BF40" i="84"/>
  <c r="BD40" i="84"/>
  <c r="AQ40" i="84"/>
  <c r="AS40" i="84" s="1"/>
  <c r="AJ40" i="84"/>
  <c r="AL40" i="84" s="1"/>
  <c r="AC40" i="84"/>
  <c r="AE40" i="84" s="1"/>
  <c r="V40" i="84"/>
  <c r="X40" i="84" s="1"/>
  <c r="O40" i="84"/>
  <c r="Q40" i="84" s="1"/>
  <c r="H40" i="84"/>
  <c r="BE40" i="84" s="1"/>
  <c r="BF39" i="84"/>
  <c r="BD39" i="84"/>
  <c r="AQ39" i="84"/>
  <c r="AS39" i="84" s="1"/>
  <c r="AJ39" i="84"/>
  <c r="AL39" i="84" s="1"/>
  <c r="AC39" i="84"/>
  <c r="AE39" i="84" s="1"/>
  <c r="V39" i="84"/>
  <c r="X39" i="84" s="1"/>
  <c r="O39" i="84"/>
  <c r="Q39" i="84" s="1"/>
  <c r="H39" i="84"/>
  <c r="J39" i="84" s="1"/>
  <c r="BG39" i="84" s="1"/>
  <c r="BF38" i="84"/>
  <c r="BD38" i="84"/>
  <c r="AQ38" i="84"/>
  <c r="AS38" i="84" s="1"/>
  <c r="AJ38" i="84"/>
  <c r="AL38" i="84" s="1"/>
  <c r="AC38" i="84"/>
  <c r="AE38" i="84" s="1"/>
  <c r="V38" i="84"/>
  <c r="X38" i="84" s="1"/>
  <c r="O38" i="84"/>
  <c r="Q38" i="84" s="1"/>
  <c r="H38" i="84"/>
  <c r="J38" i="84" s="1"/>
  <c r="BG38" i="84" s="1"/>
  <c r="BF37" i="84"/>
  <c r="BD37" i="84"/>
  <c r="AQ37" i="84"/>
  <c r="AS37" i="84" s="1"/>
  <c r="AJ37" i="84"/>
  <c r="AL37" i="84" s="1"/>
  <c r="AC37" i="84"/>
  <c r="AE37" i="84" s="1"/>
  <c r="V37" i="84"/>
  <c r="X37" i="84" s="1"/>
  <c r="O37" i="84"/>
  <c r="Q37" i="84" s="1"/>
  <c r="H37" i="84"/>
  <c r="BE37" i="84" s="1"/>
  <c r="BF36" i="84"/>
  <c r="BD36" i="84"/>
  <c r="AQ36" i="84"/>
  <c r="AS36" i="84" s="1"/>
  <c r="AJ36" i="84"/>
  <c r="AL36" i="84" s="1"/>
  <c r="AC36" i="84"/>
  <c r="AE36" i="84" s="1"/>
  <c r="V36" i="84"/>
  <c r="X36" i="84" s="1"/>
  <c r="O36" i="84"/>
  <c r="Q36" i="84" s="1"/>
  <c r="H36" i="84"/>
  <c r="BE36" i="84" s="1"/>
  <c r="BF35" i="84"/>
  <c r="BD35" i="84"/>
  <c r="AQ35" i="84"/>
  <c r="AS35" i="84" s="1"/>
  <c r="AJ35" i="84"/>
  <c r="AL35" i="84" s="1"/>
  <c r="AC35" i="84"/>
  <c r="AE35" i="84" s="1"/>
  <c r="V35" i="84"/>
  <c r="X35" i="84" s="1"/>
  <c r="O35" i="84"/>
  <c r="Q35" i="84" s="1"/>
  <c r="H35" i="84"/>
  <c r="J35" i="84" s="1"/>
  <c r="BG35" i="84" s="1"/>
  <c r="BF34" i="84"/>
  <c r="BD34" i="84"/>
  <c r="AQ34" i="84"/>
  <c r="AS34" i="84" s="1"/>
  <c r="AJ34" i="84"/>
  <c r="AL34" i="84" s="1"/>
  <c r="AC34" i="84"/>
  <c r="AE34" i="84" s="1"/>
  <c r="V34" i="84"/>
  <c r="X34" i="84" s="1"/>
  <c r="O34" i="84"/>
  <c r="Q34" i="84" s="1"/>
  <c r="H34" i="84"/>
  <c r="J34" i="84" s="1"/>
  <c r="BG34" i="84" s="1"/>
  <c r="BF33" i="84"/>
  <c r="BD33" i="84"/>
  <c r="AQ33" i="84"/>
  <c r="AS33" i="84" s="1"/>
  <c r="AJ33" i="84"/>
  <c r="AL33" i="84" s="1"/>
  <c r="AC33" i="84"/>
  <c r="AE33" i="84" s="1"/>
  <c r="V33" i="84"/>
  <c r="X33" i="84" s="1"/>
  <c r="O33" i="84"/>
  <c r="Q33" i="84" s="1"/>
  <c r="H33" i="84"/>
  <c r="BE33" i="84" s="1"/>
  <c r="BF32" i="84"/>
  <c r="BD32" i="84"/>
  <c r="AQ32" i="84"/>
  <c r="AS32" i="84" s="1"/>
  <c r="AJ32" i="84"/>
  <c r="AL32" i="84" s="1"/>
  <c r="AC32" i="84"/>
  <c r="AE32" i="84" s="1"/>
  <c r="V32" i="84"/>
  <c r="X32" i="84" s="1"/>
  <c r="O32" i="84"/>
  <c r="Q32" i="84" s="1"/>
  <c r="H32" i="84"/>
  <c r="BE32" i="84" s="1"/>
  <c r="BF31" i="84"/>
  <c r="BD31" i="84"/>
  <c r="AQ31" i="84"/>
  <c r="AS31" i="84" s="1"/>
  <c r="AJ31" i="84"/>
  <c r="AL31" i="84" s="1"/>
  <c r="AC31" i="84"/>
  <c r="AE31" i="84" s="1"/>
  <c r="V31" i="84"/>
  <c r="X31" i="84" s="1"/>
  <c r="O31" i="84"/>
  <c r="Q31" i="84" s="1"/>
  <c r="H31" i="84"/>
  <c r="J31" i="84" s="1"/>
  <c r="BG31" i="84" s="1"/>
  <c r="BF30" i="84"/>
  <c r="BD30" i="84"/>
  <c r="AQ30" i="84"/>
  <c r="AS30" i="84" s="1"/>
  <c r="AJ30" i="84"/>
  <c r="AL30" i="84" s="1"/>
  <c r="AC30" i="84"/>
  <c r="AE30" i="84" s="1"/>
  <c r="V30" i="84"/>
  <c r="X30" i="84" s="1"/>
  <c r="O30" i="84"/>
  <c r="Q30" i="84" s="1"/>
  <c r="H30" i="84"/>
  <c r="BE30" i="84" s="1"/>
  <c r="BF29" i="84"/>
  <c r="BD29" i="84"/>
  <c r="AQ29" i="84"/>
  <c r="AS29" i="84" s="1"/>
  <c r="AJ29" i="84"/>
  <c r="AL29" i="84" s="1"/>
  <c r="AC29" i="84"/>
  <c r="AE29" i="84" s="1"/>
  <c r="V29" i="84"/>
  <c r="X29" i="84" s="1"/>
  <c r="O29" i="84"/>
  <c r="Q29" i="84" s="1"/>
  <c r="H29" i="84"/>
  <c r="BE29" i="84" s="1"/>
  <c r="BF28" i="84"/>
  <c r="BD28" i="84"/>
  <c r="AQ28" i="84"/>
  <c r="AS28" i="84" s="1"/>
  <c r="AJ28" i="84"/>
  <c r="AL28" i="84" s="1"/>
  <c r="AC28" i="84"/>
  <c r="AE28" i="84" s="1"/>
  <c r="V28" i="84"/>
  <c r="X28" i="84" s="1"/>
  <c r="O28" i="84"/>
  <c r="Q28" i="84" s="1"/>
  <c r="H28" i="84"/>
  <c r="BE28" i="84" s="1"/>
  <c r="BF27" i="84"/>
  <c r="BD27" i="84"/>
  <c r="AQ27" i="84"/>
  <c r="AS27" i="84" s="1"/>
  <c r="AJ27" i="84"/>
  <c r="AL27" i="84" s="1"/>
  <c r="AC27" i="84"/>
  <c r="AE27" i="84" s="1"/>
  <c r="V27" i="84"/>
  <c r="X27" i="84" s="1"/>
  <c r="O27" i="84"/>
  <c r="Q27" i="84" s="1"/>
  <c r="H27" i="84"/>
  <c r="J27" i="84" s="1"/>
  <c r="BG27" i="84" s="1"/>
  <c r="BF26" i="84"/>
  <c r="BD26" i="84"/>
  <c r="AQ26" i="84"/>
  <c r="AS26" i="84" s="1"/>
  <c r="AJ26" i="84"/>
  <c r="AL26" i="84" s="1"/>
  <c r="AC26" i="84"/>
  <c r="AE26" i="84" s="1"/>
  <c r="V26" i="84"/>
  <c r="X26" i="84" s="1"/>
  <c r="O26" i="84"/>
  <c r="Q26" i="84" s="1"/>
  <c r="H26" i="84"/>
  <c r="BE26" i="84" s="1"/>
  <c r="BF25" i="84"/>
  <c r="BD25" i="84"/>
  <c r="AQ25" i="84"/>
  <c r="AS25" i="84" s="1"/>
  <c r="AJ25" i="84"/>
  <c r="AL25" i="84" s="1"/>
  <c r="AC25" i="84"/>
  <c r="AE25" i="84" s="1"/>
  <c r="V25" i="84"/>
  <c r="X25" i="84" s="1"/>
  <c r="O25" i="84"/>
  <c r="Q25" i="84" s="1"/>
  <c r="H25" i="84"/>
  <c r="BE25" i="84" s="1"/>
  <c r="BF24" i="84"/>
  <c r="BD24" i="84"/>
  <c r="AQ24" i="84"/>
  <c r="AS24" i="84" s="1"/>
  <c r="AJ24" i="84"/>
  <c r="AL24" i="84" s="1"/>
  <c r="AC24" i="84"/>
  <c r="AE24" i="84" s="1"/>
  <c r="V24" i="84"/>
  <c r="X24" i="84" s="1"/>
  <c r="O24" i="84"/>
  <c r="Q24" i="84" s="1"/>
  <c r="H24" i="84"/>
  <c r="BE24" i="84" s="1"/>
  <c r="BF23" i="84"/>
  <c r="BD23" i="84"/>
  <c r="AQ23" i="84"/>
  <c r="AS23" i="84" s="1"/>
  <c r="AJ23" i="84"/>
  <c r="AL23" i="84" s="1"/>
  <c r="AC23" i="84"/>
  <c r="AE23" i="84" s="1"/>
  <c r="V23" i="84"/>
  <c r="X23" i="84" s="1"/>
  <c r="O23" i="84"/>
  <c r="Q23" i="84" s="1"/>
  <c r="H23" i="84"/>
  <c r="J23" i="84" s="1"/>
  <c r="BG23" i="84" s="1"/>
  <c r="BF22" i="84"/>
  <c r="BD22" i="84"/>
  <c r="AQ22" i="84"/>
  <c r="AS22" i="84" s="1"/>
  <c r="AJ22" i="84"/>
  <c r="AL22" i="84" s="1"/>
  <c r="AC22" i="84"/>
  <c r="AE22" i="84" s="1"/>
  <c r="V22" i="84"/>
  <c r="X22" i="84" s="1"/>
  <c r="O22" i="84"/>
  <c r="Q22" i="84" s="1"/>
  <c r="H22" i="84"/>
  <c r="BE22" i="84" s="1"/>
  <c r="BF21" i="84"/>
  <c r="BD21" i="84"/>
  <c r="AQ21" i="84"/>
  <c r="AS21" i="84" s="1"/>
  <c r="AJ21" i="84"/>
  <c r="AL21" i="84" s="1"/>
  <c r="AC21" i="84"/>
  <c r="AE21" i="84" s="1"/>
  <c r="V21" i="84"/>
  <c r="X21" i="84" s="1"/>
  <c r="O21" i="84"/>
  <c r="Q21" i="84" s="1"/>
  <c r="H21" i="84"/>
  <c r="BE21" i="84" s="1"/>
  <c r="BF20" i="84"/>
  <c r="BD20" i="84"/>
  <c r="AQ20" i="84"/>
  <c r="AS20" i="84" s="1"/>
  <c r="AJ20" i="84"/>
  <c r="AL20" i="84" s="1"/>
  <c r="AC20" i="84"/>
  <c r="AE20" i="84" s="1"/>
  <c r="V20" i="84"/>
  <c r="X20" i="84" s="1"/>
  <c r="O20" i="84"/>
  <c r="Q20" i="84" s="1"/>
  <c r="H20" i="84"/>
  <c r="BE20" i="84" s="1"/>
  <c r="BF19" i="84"/>
  <c r="BD19" i="84"/>
  <c r="AQ19" i="84"/>
  <c r="AS19" i="84" s="1"/>
  <c r="AJ19" i="84"/>
  <c r="AL19" i="84" s="1"/>
  <c r="AC19" i="84"/>
  <c r="AE19" i="84" s="1"/>
  <c r="V19" i="84"/>
  <c r="X19" i="84" s="1"/>
  <c r="O19" i="84"/>
  <c r="Q19" i="84" s="1"/>
  <c r="H19" i="84"/>
  <c r="BE19" i="84" s="1"/>
  <c r="BF18" i="84"/>
  <c r="BD18" i="84"/>
  <c r="AQ18" i="84"/>
  <c r="AS18" i="84" s="1"/>
  <c r="AJ18" i="84"/>
  <c r="AL18" i="84" s="1"/>
  <c r="AC18" i="84"/>
  <c r="AE18" i="84" s="1"/>
  <c r="V18" i="84"/>
  <c r="X18" i="84" s="1"/>
  <c r="O18" i="84"/>
  <c r="Q18" i="84" s="1"/>
  <c r="H18" i="84"/>
  <c r="BE18" i="84" s="1"/>
  <c r="BF17" i="84"/>
  <c r="BD17" i="84"/>
  <c r="AQ17" i="84"/>
  <c r="AS17" i="84" s="1"/>
  <c r="AJ17" i="84"/>
  <c r="AL17" i="84" s="1"/>
  <c r="AC17" i="84"/>
  <c r="AE17" i="84" s="1"/>
  <c r="V17" i="84"/>
  <c r="X17" i="84" s="1"/>
  <c r="O17" i="84"/>
  <c r="Q17" i="84" s="1"/>
  <c r="H17" i="84"/>
  <c r="J17" i="84" s="1"/>
  <c r="BG17" i="84" s="1"/>
  <c r="BF16" i="84"/>
  <c r="BD16" i="84"/>
  <c r="AQ16" i="84"/>
  <c r="AS16" i="84" s="1"/>
  <c r="AJ16" i="84"/>
  <c r="AL16" i="84" s="1"/>
  <c r="AC16" i="84"/>
  <c r="AE16" i="84" s="1"/>
  <c r="V16" i="84"/>
  <c r="X16" i="84" s="1"/>
  <c r="O16" i="84"/>
  <c r="Q16" i="84" s="1"/>
  <c r="H16" i="84"/>
  <c r="BE16" i="84" s="1"/>
  <c r="BF15" i="84"/>
  <c r="BD15" i="84"/>
  <c r="AZ15" i="84"/>
  <c r="AQ15" i="84"/>
  <c r="AS15" i="84" s="1"/>
  <c r="AJ15" i="84"/>
  <c r="AL15" i="84" s="1"/>
  <c r="AC15" i="84"/>
  <c r="AE15" i="84" s="1"/>
  <c r="V15" i="84"/>
  <c r="X15" i="84" s="1"/>
  <c r="O15" i="84"/>
  <c r="Q15" i="84" s="1"/>
  <c r="H15" i="84"/>
  <c r="BE15" i="84" s="1"/>
  <c r="BF14" i="84"/>
  <c r="BD14" i="84"/>
  <c r="AQ14" i="84"/>
  <c r="AS14" i="84" s="1"/>
  <c r="AJ14" i="84"/>
  <c r="AL14" i="84" s="1"/>
  <c r="AC14" i="84"/>
  <c r="AE14" i="84" s="1"/>
  <c r="V14" i="84"/>
  <c r="X14" i="84" s="1"/>
  <c r="O14" i="84"/>
  <c r="Q14" i="84" s="1"/>
  <c r="H14" i="84"/>
  <c r="BE14" i="84" s="1"/>
  <c r="BF13" i="84"/>
  <c r="BD13" i="84"/>
  <c r="AZ13" i="84"/>
  <c r="AQ13" i="84"/>
  <c r="AS13" i="84" s="1"/>
  <c r="AJ13" i="84"/>
  <c r="AL13" i="84" s="1"/>
  <c r="AC13" i="84"/>
  <c r="AE13" i="84" s="1"/>
  <c r="V13" i="84"/>
  <c r="X13" i="84" s="1"/>
  <c r="O13" i="84"/>
  <c r="Q13" i="84" s="1"/>
  <c r="H13" i="84"/>
  <c r="J13" i="84" s="1"/>
  <c r="BG13" i="84" s="1"/>
  <c r="BF12" i="84"/>
  <c r="BD12" i="84"/>
  <c r="AQ12" i="84"/>
  <c r="AS12" i="84" s="1"/>
  <c r="AJ12" i="84"/>
  <c r="AL12" i="84" s="1"/>
  <c r="AC12" i="84"/>
  <c r="AE12" i="84" s="1"/>
  <c r="V12" i="84"/>
  <c r="X12" i="84" s="1"/>
  <c r="O12" i="84"/>
  <c r="Q12" i="84" s="1"/>
  <c r="H12" i="84"/>
  <c r="BE12" i="84" s="1"/>
  <c r="BF11" i="84"/>
  <c r="BD11" i="84"/>
  <c r="AQ11" i="84"/>
  <c r="AS11" i="84" s="1"/>
  <c r="AJ11" i="84"/>
  <c r="AL11" i="84" s="1"/>
  <c r="AC11" i="84"/>
  <c r="AE11" i="84" s="1"/>
  <c r="V11" i="84"/>
  <c r="X11" i="84" s="1"/>
  <c r="O11" i="84"/>
  <c r="Q11" i="84" s="1"/>
  <c r="H11" i="84"/>
  <c r="BE11" i="84" s="1"/>
  <c r="BF10" i="84"/>
  <c r="BD10" i="84"/>
  <c r="AQ10" i="84"/>
  <c r="AS10" i="84" s="1"/>
  <c r="AJ10" i="84"/>
  <c r="AL10" i="84" s="1"/>
  <c r="AC10" i="84"/>
  <c r="AE10" i="84" s="1"/>
  <c r="V10" i="84"/>
  <c r="X10" i="84" s="1"/>
  <c r="O10" i="84"/>
  <c r="Q10" i="84" s="1"/>
  <c r="H10" i="84"/>
  <c r="BE10" i="84" s="1"/>
  <c r="BF9" i="84"/>
  <c r="BD9" i="84"/>
  <c r="AQ9" i="84"/>
  <c r="AS9" i="84" s="1"/>
  <c r="AJ9" i="84"/>
  <c r="AL9" i="84" s="1"/>
  <c r="AC9" i="84"/>
  <c r="AE9" i="84" s="1"/>
  <c r="V9" i="84"/>
  <c r="X9" i="84" s="1"/>
  <c r="O9" i="84"/>
  <c r="Q9" i="84" s="1"/>
  <c r="H9" i="84"/>
  <c r="J9" i="84" s="1"/>
  <c r="BG9" i="84" s="1"/>
  <c r="BF8" i="84"/>
  <c r="BD8" i="84"/>
  <c r="AQ8" i="84"/>
  <c r="AS8" i="84" s="1"/>
  <c r="AJ8" i="84"/>
  <c r="AL8" i="84" s="1"/>
  <c r="AC8" i="84"/>
  <c r="AE8" i="84" s="1"/>
  <c r="V8" i="84"/>
  <c r="X8" i="84" s="1"/>
  <c r="O8" i="84"/>
  <c r="Q8" i="84" s="1"/>
  <c r="H8" i="84"/>
  <c r="BE8" i="84" s="1"/>
  <c r="BF7" i="84"/>
  <c r="BD7" i="84"/>
  <c r="AQ7" i="84"/>
  <c r="AS7" i="84" s="1"/>
  <c r="AJ7" i="84"/>
  <c r="AL7" i="84" s="1"/>
  <c r="AC7" i="84"/>
  <c r="AE7" i="84" s="1"/>
  <c r="V7" i="84"/>
  <c r="X7" i="84" s="1"/>
  <c r="O7" i="84"/>
  <c r="Q7" i="84" s="1"/>
  <c r="H7" i="84"/>
  <c r="BF6" i="84"/>
  <c r="BD6" i="84"/>
  <c r="AQ6" i="84"/>
  <c r="AS6" i="84" s="1"/>
  <c r="AJ6" i="84"/>
  <c r="AL6" i="84" s="1"/>
  <c r="AC6" i="84"/>
  <c r="AE6" i="84" s="1"/>
  <c r="V6" i="84"/>
  <c r="X6" i="84" s="1"/>
  <c r="O6" i="84"/>
  <c r="Q6" i="84" s="1"/>
  <c r="H6" i="84"/>
  <c r="BE6" i="84" s="1"/>
  <c r="BF5" i="84"/>
  <c r="BD5" i="84"/>
  <c r="AZ5" i="84"/>
  <c r="AQ5" i="84"/>
  <c r="AS5" i="84" s="1"/>
  <c r="AJ5" i="84"/>
  <c r="AL5" i="84" s="1"/>
  <c r="AC5" i="84"/>
  <c r="AE5" i="84" s="1"/>
  <c r="V5" i="84"/>
  <c r="X5" i="84" s="1"/>
  <c r="O5" i="84"/>
  <c r="Q5" i="84" s="1"/>
  <c r="H5" i="84"/>
  <c r="J5" i="84" s="1"/>
  <c r="BG5" i="84" s="1"/>
  <c r="BF4" i="84"/>
  <c r="BD4" i="84"/>
  <c r="AZ4" i="84"/>
  <c r="AQ4" i="84"/>
  <c r="AS4" i="84" s="1"/>
  <c r="AJ4" i="84"/>
  <c r="AL4" i="84" s="1"/>
  <c r="AC4" i="84"/>
  <c r="AE4" i="84" s="1"/>
  <c r="V4" i="84"/>
  <c r="X4" i="84" s="1"/>
  <c r="O4" i="84"/>
  <c r="Q4" i="84" s="1"/>
  <c r="H4" i="84"/>
  <c r="BF3" i="84"/>
  <c r="BD3" i="84"/>
  <c r="AQ3" i="84"/>
  <c r="AS3" i="84" s="1"/>
  <c r="AJ3" i="84"/>
  <c r="AL3" i="84" s="1"/>
  <c r="AC3" i="84"/>
  <c r="AE3" i="84" s="1"/>
  <c r="V3" i="84"/>
  <c r="X3" i="84" s="1"/>
  <c r="O3" i="84"/>
  <c r="Q3" i="84" s="1"/>
  <c r="H3" i="84"/>
  <c r="BE3" i="84" s="1"/>
  <c r="BF2" i="84"/>
  <c r="AQ2" i="84"/>
  <c r="AS2" i="84" s="1"/>
  <c r="AJ2" i="84"/>
  <c r="AL2" i="84" s="1"/>
  <c r="AC2" i="84"/>
  <c r="AE2" i="84" s="1"/>
  <c r="V2" i="84"/>
  <c r="X2" i="84" s="1"/>
  <c r="O2" i="84"/>
  <c r="Q2" i="84" s="1"/>
  <c r="C14" i="1"/>
  <c r="C13" i="1"/>
  <c r="D13" i="1" s="1"/>
  <c r="C12" i="1"/>
  <c r="G11" i="1"/>
  <c r="H11" i="1" s="1"/>
  <c r="D11" i="1"/>
  <c r="G10" i="1"/>
  <c r="H10" i="1" s="1"/>
  <c r="D10" i="1"/>
  <c r="G9" i="1"/>
  <c r="H9" i="1" s="1"/>
  <c r="D9" i="1"/>
  <c r="G8" i="1"/>
  <c r="H8" i="1" s="1"/>
  <c r="D8" i="1"/>
  <c r="G7" i="1"/>
  <c r="H7" i="1" s="1"/>
  <c r="D7" i="1"/>
  <c r="G6" i="1"/>
  <c r="H6" i="1" s="1"/>
  <c r="D6" i="1"/>
  <c r="G5" i="1"/>
  <c r="H5" i="1" s="1"/>
  <c r="D5" i="1"/>
  <c r="C3" i="1"/>
  <c r="G2" i="1"/>
  <c r="D2" i="1"/>
  <c r="E6" i="1" l="1"/>
  <c r="G12" i="1"/>
  <c r="H12" i="1" s="1"/>
  <c r="E9" i="1"/>
  <c r="G13" i="1"/>
  <c r="H13" i="1" s="1"/>
  <c r="E14" i="1"/>
  <c r="G14" i="1"/>
  <c r="H14" i="1" s="1"/>
  <c r="G3" i="1"/>
  <c r="I11" i="1" s="1"/>
  <c r="E7" i="1"/>
  <c r="E11" i="1"/>
  <c r="E12" i="1"/>
  <c r="AB107" i="84"/>
  <c r="J14" i="84"/>
  <c r="BG14" i="84" s="1"/>
  <c r="BE49" i="84"/>
  <c r="J67" i="84"/>
  <c r="BG67" i="84" s="1"/>
  <c r="BE50" i="84"/>
  <c r="BE9" i="84"/>
  <c r="J18" i="84"/>
  <c r="BG18" i="84" s="1"/>
  <c r="BE39" i="84"/>
  <c r="BE68" i="84"/>
  <c r="BE76" i="84"/>
  <c r="J6" i="84"/>
  <c r="BG6" i="84" s="1"/>
  <c r="J10" i="84"/>
  <c r="BG10" i="84" s="1"/>
  <c r="J40" i="84"/>
  <c r="BG40" i="84" s="1"/>
  <c r="J52" i="84"/>
  <c r="BG52" i="84" s="1"/>
  <c r="BE46" i="84"/>
  <c r="J54" i="84"/>
  <c r="BG54" i="84" s="1"/>
  <c r="J66" i="84"/>
  <c r="BG66" i="84" s="1"/>
  <c r="BE78" i="84"/>
  <c r="J59" i="84"/>
  <c r="BG59" i="84" s="1"/>
  <c r="J70" i="84"/>
  <c r="BG70" i="84" s="1"/>
  <c r="J74" i="84"/>
  <c r="BG74" i="84" s="1"/>
  <c r="BE45" i="84"/>
  <c r="J96" i="84"/>
  <c r="BG96" i="84" s="1"/>
  <c r="J65" i="84"/>
  <c r="BG65" i="84" s="1"/>
  <c r="J71" i="84"/>
  <c r="BG71" i="84" s="1"/>
  <c r="J75" i="84"/>
  <c r="BG75" i="84" s="1"/>
  <c r="BE42" i="84"/>
  <c r="BE72" i="84"/>
  <c r="BE13" i="84"/>
  <c r="BE53" i="84"/>
  <c r="J97" i="84"/>
  <c r="BG97" i="84" s="1"/>
  <c r="J69" i="84"/>
  <c r="BG69" i="84" s="1"/>
  <c r="J73" i="84"/>
  <c r="BG73" i="84" s="1"/>
  <c r="BE81" i="84"/>
  <c r="BE5" i="84"/>
  <c r="BE17" i="84"/>
  <c r="J26" i="84"/>
  <c r="BG26" i="84" s="1"/>
  <c r="BE31" i="84"/>
  <c r="J37" i="84"/>
  <c r="BG37" i="84" s="1"/>
  <c r="BE64" i="84"/>
  <c r="BE60" i="84"/>
  <c r="J25" i="84"/>
  <c r="BG25" i="84" s="1"/>
  <c r="BE23" i="84"/>
  <c r="J61" i="84"/>
  <c r="BG61" i="84" s="1"/>
  <c r="BE57" i="84"/>
  <c r="J63" i="84"/>
  <c r="BG63" i="84" s="1"/>
  <c r="BE85" i="84"/>
  <c r="BE89" i="84"/>
  <c r="J58" i="84"/>
  <c r="BG58" i="84" s="1"/>
  <c r="J56" i="84"/>
  <c r="BG56" i="84" s="1"/>
  <c r="BE27" i="84"/>
  <c r="BE35" i="84"/>
  <c r="BE34" i="84"/>
  <c r="J33" i="84"/>
  <c r="BG33" i="84" s="1"/>
  <c r="J30" i="84"/>
  <c r="BG30" i="84" s="1"/>
  <c r="J29" i="84"/>
  <c r="BG29" i="84" s="1"/>
  <c r="J22" i="84"/>
  <c r="BG22" i="84" s="1"/>
  <c r="J93" i="84"/>
  <c r="BG93" i="84" s="1"/>
  <c r="BE7" i="84"/>
  <c r="J7" i="84"/>
  <c r="BG7" i="84" s="1"/>
  <c r="D14" i="1"/>
  <c r="BE4" i="84"/>
  <c r="J4" i="84"/>
  <c r="BG4" i="84" s="1"/>
  <c r="J3" i="84"/>
  <c r="BG3" i="84" s="1"/>
  <c r="D12" i="1"/>
  <c r="H2" i="1"/>
  <c r="E8" i="1"/>
  <c r="D3" i="1"/>
  <c r="E10" i="1"/>
  <c r="J11" i="84"/>
  <c r="BG11" i="84" s="1"/>
  <c r="J15" i="84"/>
  <c r="BG15" i="84" s="1"/>
  <c r="J19" i="84"/>
  <c r="BG19" i="84" s="1"/>
  <c r="J21" i="84"/>
  <c r="BG21" i="84" s="1"/>
  <c r="J28" i="84"/>
  <c r="BG28" i="84" s="1"/>
  <c r="J8" i="84"/>
  <c r="BG8" i="84" s="1"/>
  <c r="J12" i="84"/>
  <c r="BG12" i="84" s="1"/>
  <c r="J16" i="84"/>
  <c r="BG16" i="84" s="1"/>
  <c r="J20" i="84"/>
  <c r="BG20" i="84" s="1"/>
  <c r="J24" i="84"/>
  <c r="BG24" i="84" s="1"/>
  <c r="J32" i="84"/>
  <c r="BG32" i="84" s="1"/>
  <c r="J36" i="84"/>
  <c r="BG36" i="84" s="1"/>
  <c r="BE38" i="84"/>
  <c r="J43" i="84"/>
  <c r="BG43" i="84" s="1"/>
  <c r="BE41" i="84"/>
  <c r="J47" i="84"/>
  <c r="BG47" i="84" s="1"/>
  <c r="J51" i="84"/>
  <c r="BG51" i="84" s="1"/>
  <c r="J55" i="84"/>
  <c r="BG55" i="84" s="1"/>
  <c r="J44" i="84"/>
  <c r="BG44" i="84" s="1"/>
  <c r="J48" i="84"/>
  <c r="BG48" i="84" s="1"/>
  <c r="BE79" i="84"/>
  <c r="J79" i="84"/>
  <c r="BG79" i="84" s="1"/>
  <c r="J62" i="84"/>
  <c r="BG62" i="84" s="1"/>
  <c r="J77" i="84"/>
  <c r="BG77" i="84" s="1"/>
  <c r="BE80" i="84"/>
  <c r="BE84" i="84"/>
  <c r="BE88" i="84"/>
  <c r="BE92" i="84"/>
  <c r="AI107" i="84"/>
  <c r="J82" i="84"/>
  <c r="BG82" i="84" s="1"/>
  <c r="J86" i="84"/>
  <c r="BG86" i="84" s="1"/>
  <c r="J90" i="84"/>
  <c r="BG90" i="84" s="1"/>
  <c r="J94" i="84"/>
  <c r="BG94" i="84" s="1"/>
  <c r="AP107" i="84"/>
  <c r="AW107" i="84"/>
  <c r="AY107" i="84" s="1"/>
  <c r="J83" i="84"/>
  <c r="BG83" i="84" s="1"/>
  <c r="J87" i="84"/>
  <c r="BG87" i="84" s="1"/>
  <c r="J91" i="84"/>
  <c r="BG91" i="84" s="1"/>
  <c r="J95" i="84"/>
  <c r="BG95" i="84" s="1"/>
  <c r="N107" i="84"/>
  <c r="U107" i="84"/>
  <c r="I7" i="1" l="1"/>
  <c r="I14" i="1"/>
  <c r="I6" i="1"/>
  <c r="H3" i="1"/>
  <c r="I9" i="1"/>
  <c r="I8" i="1"/>
  <c r="I12" i="1"/>
  <c r="I10" i="1"/>
  <c r="AH30" i="84" l="1"/>
  <c r="AH31" i="84" s="1"/>
  <c r="AH32" i="84" l="1"/>
  <c r="AG31" i="84"/>
  <c r="AF30" i="84"/>
  <c r="AF29" i="84"/>
  <c r="AG30" i="84"/>
  <c r="AG32" i="84" l="1"/>
  <c r="AF31" i="84"/>
  <c r="AH33" i="84"/>
  <c r="AH34" i="84" s="1"/>
  <c r="AH35" i="84" s="1"/>
  <c r="AV30" i="84"/>
  <c r="AV31" i="84" s="1"/>
  <c r="AH36" i="84" l="1"/>
  <c r="AG35" i="84"/>
  <c r="AF34" i="84"/>
  <c r="AG34" i="84"/>
  <c r="AF33" i="84"/>
  <c r="AV32" i="84"/>
  <c r="AT30" i="84"/>
  <c r="AU31" i="84"/>
  <c r="AG33" i="84"/>
  <c r="AF32" i="84"/>
  <c r="AT29" i="84"/>
  <c r="AU30" i="84"/>
  <c r="AH37" i="84" l="1"/>
  <c r="AG36" i="84"/>
  <c r="AF35" i="84"/>
  <c r="AU32" i="84"/>
  <c r="AV33" i="84"/>
  <c r="AV34" i="84" s="1"/>
  <c r="AV35" i="84" s="1"/>
  <c r="AT31" i="84"/>
  <c r="AA30" i="84"/>
  <c r="AA31" i="84" s="1"/>
  <c r="AV36" i="84" l="1"/>
  <c r="AT34" i="84"/>
  <c r="AU35" i="84"/>
  <c r="AH38" i="84"/>
  <c r="AH39" i="84" s="1"/>
  <c r="AF36" i="84"/>
  <c r="AG37" i="84"/>
  <c r="AT33" i="84"/>
  <c r="AU34" i="84"/>
  <c r="AT32" i="84"/>
  <c r="AU33" i="84"/>
  <c r="AA32" i="84"/>
  <c r="Z31" i="84"/>
  <c r="Y30" i="84"/>
  <c r="Y29" i="84"/>
  <c r="Z30" i="84"/>
  <c r="AH40" i="84" l="1"/>
  <c r="AG39" i="84"/>
  <c r="AF38" i="84"/>
  <c r="AV37" i="84"/>
  <c r="AT35" i="84"/>
  <c r="AU36" i="84"/>
  <c r="AG38" i="84"/>
  <c r="AF37" i="84"/>
  <c r="AA33" i="84"/>
  <c r="AA34" i="84" s="1"/>
  <c r="AA35" i="84" s="1"/>
  <c r="Y31" i="84"/>
  <c r="Z32" i="84"/>
  <c r="AF39" i="84" l="1"/>
  <c r="AH41" i="84"/>
  <c r="AG40" i="84"/>
  <c r="AV38" i="84"/>
  <c r="AV39" i="84" s="1"/>
  <c r="AU37" i="84"/>
  <c r="AT36" i="84"/>
  <c r="AA36" i="84"/>
  <c r="Y34" i="84"/>
  <c r="Z35" i="84"/>
  <c r="Y33" i="84"/>
  <c r="Z34" i="84"/>
  <c r="Z33" i="84"/>
  <c r="Y32" i="84"/>
  <c r="AU39" i="84" l="1"/>
  <c r="AV40" i="84"/>
  <c r="AT38" i="84"/>
  <c r="AG41" i="84"/>
  <c r="AF40" i="84"/>
  <c r="AH42" i="84"/>
  <c r="AH43" i="84" s="1"/>
  <c r="AT37" i="84"/>
  <c r="AU38" i="84"/>
  <c r="AA37" i="84"/>
  <c r="Y35" i="84"/>
  <c r="Z36" i="84"/>
  <c r="AH44" i="84" l="1"/>
  <c r="AH45" i="84" s="1"/>
  <c r="AF42" i="84"/>
  <c r="AG43" i="84"/>
  <c r="AT39" i="84"/>
  <c r="AU40" i="84"/>
  <c r="AV41" i="84"/>
  <c r="AG42" i="84"/>
  <c r="AF41" i="84"/>
  <c r="AA38" i="84"/>
  <c r="AA39" i="84" s="1"/>
  <c r="Y36" i="84"/>
  <c r="Z37" i="84"/>
  <c r="AG45" i="84" l="1"/>
  <c r="AF44" i="84"/>
  <c r="AH46" i="84"/>
  <c r="AH47" i="84" s="1"/>
  <c r="AF43" i="84"/>
  <c r="AG44" i="84"/>
  <c r="AV42" i="84"/>
  <c r="AV43" i="84" s="1"/>
  <c r="AU41" i="84"/>
  <c r="AT40" i="84"/>
  <c r="Z39" i="84"/>
  <c r="AA40" i="84"/>
  <c r="Y38" i="84"/>
  <c r="Y37" i="84"/>
  <c r="Z38" i="84"/>
  <c r="AF46" i="84" l="1"/>
  <c r="AG47" i="84"/>
  <c r="AH48" i="84"/>
  <c r="AH49" i="84" s="1"/>
  <c r="AG46" i="84"/>
  <c r="AF45" i="84"/>
  <c r="AV44" i="84"/>
  <c r="AV45" i="84" s="1"/>
  <c r="AT42" i="84"/>
  <c r="AU43" i="84"/>
  <c r="AT41" i="84"/>
  <c r="AU42" i="84"/>
  <c r="Z40" i="84"/>
  <c r="Y39" i="84"/>
  <c r="AA41" i="84"/>
  <c r="AH50" i="84" l="1"/>
  <c r="AF48" i="84"/>
  <c r="AG49" i="84"/>
  <c r="AG48" i="84"/>
  <c r="AF47" i="84"/>
  <c r="AT44" i="84"/>
  <c r="AU45" i="84"/>
  <c r="AV46" i="84"/>
  <c r="AV47" i="84" s="1"/>
  <c r="AU44" i="84"/>
  <c r="AT43" i="84"/>
  <c r="Y40" i="84"/>
  <c r="Z41" i="84"/>
  <c r="AA42" i="84"/>
  <c r="AA43" i="84" s="1"/>
  <c r="AG50" i="84" l="1"/>
  <c r="AF49" i="84"/>
  <c r="AH51" i="84"/>
  <c r="AT46" i="84"/>
  <c r="AV48" i="84"/>
  <c r="AV49" i="84" s="1"/>
  <c r="AU47" i="84"/>
  <c r="AU46" i="84"/>
  <c r="AT45" i="84"/>
  <c r="AA44" i="84"/>
  <c r="AA45" i="84" s="1"/>
  <c r="Z43" i="84"/>
  <c r="Y42" i="84"/>
  <c r="Y41" i="84"/>
  <c r="Z42" i="84"/>
  <c r="AT48" i="84" l="1"/>
  <c r="AV50" i="84"/>
  <c r="AU49" i="84"/>
  <c r="AF50" i="84"/>
  <c r="AG51" i="84"/>
  <c r="AH52" i="84"/>
  <c r="AT47" i="84"/>
  <c r="AU48" i="84"/>
  <c r="Z45" i="84"/>
  <c r="AA46" i="84"/>
  <c r="AA47" i="84" s="1"/>
  <c r="Y44" i="84"/>
  <c r="Y43" i="84"/>
  <c r="Z44" i="84"/>
  <c r="AT49" i="84" l="1"/>
  <c r="AV51" i="84"/>
  <c r="AU50" i="84"/>
  <c r="AH53" i="84"/>
  <c r="AH54" i="84" s="1"/>
  <c r="AF51" i="84"/>
  <c r="AG52" i="84"/>
  <c r="Y46" i="84"/>
  <c r="AA48" i="84"/>
  <c r="AA49" i="84" s="1"/>
  <c r="Z47" i="84"/>
  <c r="Y45" i="84"/>
  <c r="Z46" i="84"/>
  <c r="AF53" i="84" l="1"/>
  <c r="AG54" i="84"/>
  <c r="AH55" i="84"/>
  <c r="AT50" i="84"/>
  <c r="AV52" i="84"/>
  <c r="AU51" i="84"/>
  <c r="AF52" i="84"/>
  <c r="AG53" i="84"/>
  <c r="AA50" i="84"/>
  <c r="Y48" i="84"/>
  <c r="Z49" i="84"/>
  <c r="Y47" i="84"/>
  <c r="Z48" i="84"/>
  <c r="AH56" i="84" l="1"/>
  <c r="AH57" i="84" s="1"/>
  <c r="AH58" i="84" s="1"/>
  <c r="AH59" i="84" s="1"/>
  <c r="AG55" i="84"/>
  <c r="AF54" i="84"/>
  <c r="AV53" i="84"/>
  <c r="AV54" i="84" s="1"/>
  <c r="AU52" i="84"/>
  <c r="AT51" i="84"/>
  <c r="Z50" i="84"/>
  <c r="Y49" i="84"/>
  <c r="AA51" i="84"/>
  <c r="AH60" i="84" l="1"/>
  <c r="AG59" i="84"/>
  <c r="AF58" i="84"/>
  <c r="AG58" i="84"/>
  <c r="AF57" i="84"/>
  <c r="AG57" i="84"/>
  <c r="AF56" i="84"/>
  <c r="AU54" i="84"/>
  <c r="AT53" i="84"/>
  <c r="AV55" i="84"/>
  <c r="AG56" i="84"/>
  <c r="AF55" i="84"/>
  <c r="AU53" i="84"/>
  <c r="AT52" i="84"/>
  <c r="Z51" i="84"/>
  <c r="AA52" i="84"/>
  <c r="Y50" i="84"/>
  <c r="AG60" i="84" l="1"/>
  <c r="AH61" i="84"/>
  <c r="AF59" i="84"/>
  <c r="AV56" i="84"/>
  <c r="AV57" i="84" s="1"/>
  <c r="AV58" i="84" s="1"/>
  <c r="AV59" i="84" s="1"/>
  <c r="AT54" i="84"/>
  <c r="AU55" i="84"/>
  <c r="AA53" i="84"/>
  <c r="AA54" i="84" s="1"/>
  <c r="Y51" i="84"/>
  <c r="Z52" i="84"/>
  <c r="AV60" i="84" l="1"/>
  <c r="AT58" i="84"/>
  <c r="AU59" i="84"/>
  <c r="AH62" i="84"/>
  <c r="AG61" i="84"/>
  <c r="AF60" i="84"/>
  <c r="AU58" i="84"/>
  <c r="AT57" i="84"/>
  <c r="AU57" i="84"/>
  <c r="AT56" i="84"/>
  <c r="AU56" i="84"/>
  <c r="AT55" i="84"/>
  <c r="AA55" i="84"/>
  <c r="Z54" i="84"/>
  <c r="Y53" i="84"/>
  <c r="Y52" i="84"/>
  <c r="Z53" i="84"/>
  <c r="AV61" i="84" l="1"/>
  <c r="AU60" i="84"/>
  <c r="AT59" i="84"/>
  <c r="AF61" i="84"/>
  <c r="AH63" i="84"/>
  <c r="AH64" i="84" s="1"/>
  <c r="AG62" i="84"/>
  <c r="AA56" i="84"/>
  <c r="AA57" i="84" s="1"/>
  <c r="AA58" i="84" s="1"/>
  <c r="AA59" i="84" s="1"/>
  <c r="Z55" i="84"/>
  <c r="Y54" i="84"/>
  <c r="AH65" i="84" l="1"/>
  <c r="AG64" i="84"/>
  <c r="AF63" i="84"/>
  <c r="AV62" i="84"/>
  <c r="AT60" i="84"/>
  <c r="AU61" i="84"/>
  <c r="AG63" i="84"/>
  <c r="AF62" i="84"/>
  <c r="AA60" i="84"/>
  <c r="Z59" i="84"/>
  <c r="Y58" i="84"/>
  <c r="Y57" i="84"/>
  <c r="Z58" i="84"/>
  <c r="Z57" i="84"/>
  <c r="Y56" i="84"/>
  <c r="Y55" i="84"/>
  <c r="Z56" i="84"/>
  <c r="AH66" i="84" l="1"/>
  <c r="AG65" i="84"/>
  <c r="AF64" i="84"/>
  <c r="AT61" i="84"/>
  <c r="AV63" i="84"/>
  <c r="AV64" i="84" s="1"/>
  <c r="AU62" i="84"/>
  <c r="AA61" i="84"/>
  <c r="AA62" i="84" s="1"/>
  <c r="Y59" i="84"/>
  <c r="Z60" i="84"/>
  <c r="AA63" i="84" l="1"/>
  <c r="AA64" i="84" s="1"/>
  <c r="Y61" i="84"/>
  <c r="Z62" i="84"/>
  <c r="AV65" i="84"/>
  <c r="AU64" i="84"/>
  <c r="AT63" i="84"/>
  <c r="AH67" i="84"/>
  <c r="AF65" i="84"/>
  <c r="AG66" i="84"/>
  <c r="AU63" i="84"/>
  <c r="AT62" i="84"/>
  <c r="Z61" i="84"/>
  <c r="Y60" i="84"/>
  <c r="AA65" i="84" l="1"/>
  <c r="Y63" i="84"/>
  <c r="Z64" i="84"/>
  <c r="Z63" i="84"/>
  <c r="Y62" i="84"/>
  <c r="AT64" i="84"/>
  <c r="AV66" i="84"/>
  <c r="AU65" i="84"/>
  <c r="AG67" i="84"/>
  <c r="AF66" i="84"/>
  <c r="AH68" i="84"/>
  <c r="Y64" i="84" l="1"/>
  <c r="Z65" i="84"/>
  <c r="AA66" i="84"/>
  <c r="AU66" i="84"/>
  <c r="AV67" i="84"/>
  <c r="AT65" i="84"/>
  <c r="AH69" i="84"/>
  <c r="AF67" i="84"/>
  <c r="AG68" i="84"/>
  <c r="AA67" i="84" l="1"/>
  <c r="Y65" i="84"/>
  <c r="Z66" i="84"/>
  <c r="AV68" i="84"/>
  <c r="AU67" i="84"/>
  <c r="AT66" i="84"/>
  <c r="AH70" i="84"/>
  <c r="AH71" i="84" s="1"/>
  <c r="AG69" i="84"/>
  <c r="AF68" i="84"/>
  <c r="AH72" i="84" l="1"/>
  <c r="AF70" i="84"/>
  <c r="AG71" i="84"/>
  <c r="Y66" i="84"/>
  <c r="Z67" i="84"/>
  <c r="AA68" i="84"/>
  <c r="AV69" i="84"/>
  <c r="AU68" i="84"/>
  <c r="AT67" i="84"/>
  <c r="AG70" i="84"/>
  <c r="AF69" i="84"/>
  <c r="AH73" i="84" l="1"/>
  <c r="AF71" i="84"/>
  <c r="AG72" i="84"/>
  <c r="AA69" i="84"/>
  <c r="AA70" i="84" s="1"/>
  <c r="AA71" i="84" s="1"/>
  <c r="Z68" i="84"/>
  <c r="Y67" i="84"/>
  <c r="AT68" i="84"/>
  <c r="AU69" i="84"/>
  <c r="AV70" i="84"/>
  <c r="AV71" i="84" s="1"/>
  <c r="AA72" i="84" l="1"/>
  <c r="AA73" i="84" s="1"/>
  <c r="Y70" i="84"/>
  <c r="Z71" i="84"/>
  <c r="Y69" i="84"/>
  <c r="Z70" i="84"/>
  <c r="AV72" i="84"/>
  <c r="AU71" i="84"/>
  <c r="AT70" i="84"/>
  <c r="AG73" i="84"/>
  <c r="AF72" i="84"/>
  <c r="AH74" i="84"/>
  <c r="Z69" i="84"/>
  <c r="Y68" i="84"/>
  <c r="AU70" i="84"/>
  <c r="AT69" i="84"/>
  <c r="Z73" i="84" l="1"/>
  <c r="Y72" i="84"/>
  <c r="AA74" i="84"/>
  <c r="AO79" i="84"/>
  <c r="Y71" i="84"/>
  <c r="Z72" i="84"/>
  <c r="AU72" i="84"/>
  <c r="AT71" i="84"/>
  <c r="AV73" i="84"/>
  <c r="AH75" i="84"/>
  <c r="AF73" i="84"/>
  <c r="AG74" i="84"/>
  <c r="AA75" i="84" l="1"/>
  <c r="Y73" i="84"/>
  <c r="Z74" i="84"/>
  <c r="AO80" i="84"/>
  <c r="AN79" i="84"/>
  <c r="AM78" i="84"/>
  <c r="AT72" i="84"/>
  <c r="AU73" i="84"/>
  <c r="AV74" i="84"/>
  <c r="AH76" i="84"/>
  <c r="AH77" i="84" s="1"/>
  <c r="AH78" i="84" s="1"/>
  <c r="AF74" i="84"/>
  <c r="AG75" i="84"/>
  <c r="AA76" i="84" l="1"/>
  <c r="Z75" i="84"/>
  <c r="Y74" i="84"/>
  <c r="AM79" i="84"/>
  <c r="AO81" i="84"/>
  <c r="AO82" i="84" s="1"/>
  <c r="AO83" i="84" s="1"/>
  <c r="AN80" i="84"/>
  <c r="AH79" i="84"/>
  <c r="AF77" i="84"/>
  <c r="AG78" i="84"/>
  <c r="AF76" i="84"/>
  <c r="AG77" i="84"/>
  <c r="AV75" i="84"/>
  <c r="AV76" i="84" s="1"/>
  <c r="AT73" i="84"/>
  <c r="AU74" i="84"/>
  <c r="AG76" i="84"/>
  <c r="AF75" i="84"/>
  <c r="AO84" i="84" l="1"/>
  <c r="AO85" i="84" s="1"/>
  <c r="AM82" i="84"/>
  <c r="AN83" i="84"/>
  <c r="AN82" i="84"/>
  <c r="AM81" i="84"/>
  <c r="AA77" i="84"/>
  <c r="Y75" i="84"/>
  <c r="Z76" i="84"/>
  <c r="AN81" i="84"/>
  <c r="AM80" i="84"/>
  <c r="AH80" i="84"/>
  <c r="AF78" i="84"/>
  <c r="AG79" i="84"/>
  <c r="AU76" i="84"/>
  <c r="AV77" i="84"/>
  <c r="AV78" i="84" s="1"/>
  <c r="AT75" i="84"/>
  <c r="AU75" i="84"/>
  <c r="AT74" i="84"/>
  <c r="AO86" i="84" l="1"/>
  <c r="AM84" i="84"/>
  <c r="AN85" i="84"/>
  <c r="AM83" i="84"/>
  <c r="AN84" i="84"/>
  <c r="AA78" i="84"/>
  <c r="Y76" i="84"/>
  <c r="Z77" i="84"/>
  <c r="AV79" i="84"/>
  <c r="AU78" i="84"/>
  <c r="AT77" i="84"/>
  <c r="AF79" i="84"/>
  <c r="AG80" i="84"/>
  <c r="AH81" i="84"/>
  <c r="AH82" i="84" s="1"/>
  <c r="AT76" i="84"/>
  <c r="AU77" i="84"/>
  <c r="AN86" i="84" l="1"/>
  <c r="AM85" i="84"/>
  <c r="AO87" i="84"/>
  <c r="AH83" i="84"/>
  <c r="AF81" i="84"/>
  <c r="AG82" i="84"/>
  <c r="Z78" i="84"/>
  <c r="Y77" i="84"/>
  <c r="AA79" i="84"/>
  <c r="AV80" i="84"/>
  <c r="AU79" i="84"/>
  <c r="AT78" i="84"/>
  <c r="AF80" i="84"/>
  <c r="AG81" i="84"/>
  <c r="AO88" i="84" l="1"/>
  <c r="AO89" i="84" s="1"/>
  <c r="AM86" i="84"/>
  <c r="AN87" i="84"/>
  <c r="AG83" i="84"/>
  <c r="AH84" i="84"/>
  <c r="AF82" i="84"/>
  <c r="AA80" i="84"/>
  <c r="Z79" i="84"/>
  <c r="Y78" i="84"/>
  <c r="AT79" i="84"/>
  <c r="AV81" i="84"/>
  <c r="AV82" i="84" s="1"/>
  <c r="AU80" i="84"/>
  <c r="AN89" i="84" l="1"/>
  <c r="AM88" i="84"/>
  <c r="AO90" i="84"/>
  <c r="AM87" i="84"/>
  <c r="AN88" i="84"/>
  <c r="AV83" i="84"/>
  <c r="AT81" i="84"/>
  <c r="AU82" i="84"/>
  <c r="AF83" i="84"/>
  <c r="AH85" i="84"/>
  <c r="AG84" i="84"/>
  <c r="Y79" i="84"/>
  <c r="AA81" i="84"/>
  <c r="AA82" i="84" s="1"/>
  <c r="Z80" i="84"/>
  <c r="AT80" i="84"/>
  <c r="AU81" i="84"/>
  <c r="AO91" i="84" l="1"/>
  <c r="AN90" i="84"/>
  <c r="AM89" i="84"/>
  <c r="AV84" i="84"/>
  <c r="AU83" i="84"/>
  <c r="AT82" i="84"/>
  <c r="AH86" i="84"/>
  <c r="AG85" i="84"/>
  <c r="AF84" i="84"/>
  <c r="AA83" i="84"/>
  <c r="Y81" i="84"/>
  <c r="Z82" i="84"/>
  <c r="Y80" i="84"/>
  <c r="Z81" i="84"/>
  <c r="BD2" i="84"/>
  <c r="G110" i="84"/>
  <c r="G111" i="84" s="1"/>
  <c r="H2" i="84"/>
  <c r="BE2" i="84" s="1"/>
  <c r="G106" i="84"/>
  <c r="G109" i="84" s="1"/>
  <c r="N109" i="84" s="1"/>
  <c r="G112" i="84"/>
  <c r="G113" i="84" s="1"/>
  <c r="N113" i="84" s="1"/>
  <c r="G101" i="84"/>
  <c r="G102" i="84" s="1"/>
  <c r="N102" i="84" s="1"/>
  <c r="G103" i="84"/>
  <c r="G104" i="84" s="1"/>
  <c r="N104" i="84" s="1"/>
  <c r="G105" i="84"/>
  <c r="AO92" i="84" l="1"/>
  <c r="AM90" i="84"/>
  <c r="AN91" i="84"/>
  <c r="AV85" i="84"/>
  <c r="AU84" i="84"/>
  <c r="AT83" i="84"/>
  <c r="AH87" i="84"/>
  <c r="AF85" i="84"/>
  <c r="AG86" i="84"/>
  <c r="AA84" i="84"/>
  <c r="Z83" i="84"/>
  <c r="Y82" i="84"/>
  <c r="G107" i="84"/>
  <c r="N111" i="84"/>
  <c r="U111" i="84"/>
  <c r="AW111" i="84"/>
  <c r="AY111" i="84" s="1"/>
  <c r="AI111" i="84"/>
  <c r="AB111" i="84"/>
  <c r="AP111" i="84"/>
  <c r="U104" i="84"/>
  <c r="AB104" i="84" s="1"/>
  <c r="AI104" i="84" s="1"/>
  <c r="AP104" i="84" s="1"/>
  <c r="AW104" i="84" s="1"/>
  <c r="AY104" i="84" s="1"/>
  <c r="U102" i="84"/>
  <c r="AB102" i="84" s="1"/>
  <c r="AI102" i="84" s="1"/>
  <c r="AP102" i="84" s="1"/>
  <c r="AW102" i="84" s="1"/>
  <c r="AY102" i="84" s="1"/>
  <c r="U113" i="84"/>
  <c r="AB113" i="84" s="1"/>
  <c r="AI113" i="84" s="1"/>
  <c r="AP113" i="84" s="1"/>
  <c r="AW113" i="84" s="1"/>
  <c r="AY113" i="84" s="1"/>
  <c r="U109" i="84"/>
  <c r="AB109" i="84" s="1"/>
  <c r="AI109" i="84" s="1"/>
  <c r="AP109" i="84" s="1"/>
  <c r="AW109" i="84" s="1"/>
  <c r="AY109" i="84" s="1"/>
  <c r="G108" i="84"/>
  <c r="N108" i="84" s="1"/>
  <c r="J2" i="84"/>
  <c r="BG2" i="84" s="1"/>
  <c r="AN92" i="84" l="1"/>
  <c r="AM91" i="84"/>
  <c r="AO93" i="84"/>
  <c r="AO94" i="84" s="1"/>
  <c r="AV86" i="84"/>
  <c r="AU85" i="84"/>
  <c r="AT84" i="84"/>
  <c r="AH88" i="84"/>
  <c r="AH89" i="84" s="1"/>
  <c r="AG87" i="84"/>
  <c r="AF86" i="84"/>
  <c r="Z84" i="84"/>
  <c r="AA85" i="84"/>
  <c r="Y83" i="84"/>
  <c r="U108" i="84"/>
  <c r="AB108" i="84" s="1"/>
  <c r="AI108" i="84" s="1"/>
  <c r="AP108" i="84" s="1"/>
  <c r="AW108" i="84" s="1"/>
  <c r="AY108" i="84" s="1"/>
  <c r="AM93" i="84" l="1"/>
  <c r="AN94" i="84"/>
  <c r="AO95" i="84"/>
  <c r="AM92" i="84"/>
  <c r="AN93" i="84"/>
  <c r="AG89" i="84"/>
  <c r="AH90" i="84"/>
  <c r="AF88" i="84"/>
  <c r="AV87" i="84"/>
  <c r="AU86" i="84"/>
  <c r="AT85" i="84"/>
  <c r="AG88" i="84"/>
  <c r="AF87" i="84"/>
  <c r="Z85" i="84"/>
  <c r="Y84" i="84"/>
  <c r="AA86" i="84"/>
  <c r="AN95" i="84" l="1"/>
  <c r="AM94" i="84"/>
  <c r="AO96" i="84"/>
  <c r="AG90" i="84"/>
  <c r="AH91" i="84"/>
  <c r="AF89" i="84"/>
  <c r="AV88" i="84"/>
  <c r="AV89" i="84" s="1"/>
  <c r="AU87" i="84"/>
  <c r="AT86" i="84"/>
  <c r="Y85" i="84"/>
  <c r="Z86" i="84"/>
  <c r="AA87" i="84"/>
  <c r="AO97" i="84" l="1"/>
  <c r="AN96" i="84"/>
  <c r="AM95" i="84"/>
  <c r="AV90" i="84"/>
  <c r="AT88" i="84"/>
  <c r="AU89" i="84"/>
  <c r="AH92" i="84"/>
  <c r="AF90" i="84"/>
  <c r="AG91" i="84"/>
  <c r="AU88" i="84"/>
  <c r="AT87" i="84"/>
  <c r="Y86" i="84"/>
  <c r="Z87" i="84"/>
  <c r="AA88" i="84"/>
  <c r="AA89" i="84" s="1"/>
  <c r="AM96" i="84" l="1"/>
  <c r="AV2" i="84"/>
  <c r="AN97" i="84"/>
  <c r="AV91" i="84"/>
  <c r="AT89" i="84"/>
  <c r="AU90" i="84"/>
  <c r="AH93" i="84"/>
  <c r="AF91" i="84"/>
  <c r="AG92" i="84"/>
  <c r="Z89" i="84"/>
  <c r="AA90" i="84"/>
  <c r="Y88" i="84"/>
  <c r="Z88" i="84"/>
  <c r="Y87" i="84"/>
  <c r="AV3" i="84" l="1"/>
  <c r="AM97" i="84"/>
  <c r="AU2" i="84"/>
  <c r="AV92" i="84"/>
  <c r="AU91" i="84"/>
  <c r="AT90" i="84"/>
  <c r="AH94" i="84"/>
  <c r="AG93" i="84"/>
  <c r="AF92" i="84"/>
  <c r="Z90" i="84"/>
  <c r="AA91" i="84"/>
  <c r="Y89" i="84"/>
  <c r="AV4" i="84" l="1"/>
  <c r="AU3" i="84"/>
  <c r="AT2" i="84"/>
  <c r="AV93" i="84"/>
  <c r="AT91" i="84"/>
  <c r="AU92" i="84"/>
  <c r="AF93" i="84"/>
  <c r="AG94" i="84"/>
  <c r="AH95" i="84"/>
  <c r="AA92" i="84"/>
  <c r="Z91" i="84"/>
  <c r="Y90" i="84"/>
  <c r="AU4" i="84" l="1"/>
  <c r="AV5" i="84"/>
  <c r="AT3" i="84"/>
  <c r="AV94" i="84"/>
  <c r="AT92" i="84"/>
  <c r="AU93" i="84"/>
  <c r="AH96" i="84"/>
  <c r="AG95" i="84"/>
  <c r="AF94" i="84"/>
  <c r="AA93" i="84"/>
  <c r="Z92" i="84"/>
  <c r="Y91" i="84"/>
  <c r="AV6" i="84" l="1"/>
  <c r="AU5" i="84"/>
  <c r="AT4" i="84"/>
  <c r="AV95" i="84"/>
  <c r="AU94" i="84"/>
  <c r="AT93" i="84"/>
  <c r="AG96" i="84"/>
  <c r="AF95" i="84"/>
  <c r="AH97" i="84"/>
  <c r="AA94" i="84"/>
  <c r="Y92" i="84"/>
  <c r="Z93" i="84"/>
  <c r="AT5" i="84" l="1"/>
  <c r="AV7" i="84"/>
  <c r="AU6" i="84"/>
  <c r="AV96" i="84"/>
  <c r="AU95" i="84"/>
  <c r="AT94" i="84"/>
  <c r="AO2" i="84"/>
  <c r="AG97" i="84"/>
  <c r="AF96" i="84"/>
  <c r="AA95" i="84"/>
  <c r="Z94" i="84"/>
  <c r="Y93" i="84"/>
  <c r="AU7" i="84" l="1"/>
  <c r="AT6" i="84"/>
  <c r="AV8" i="84"/>
  <c r="AU96" i="84"/>
  <c r="AT95" i="84"/>
  <c r="AV97" i="84"/>
  <c r="AF97" i="84"/>
  <c r="AN2" i="84"/>
  <c r="AO3" i="84"/>
  <c r="Y94" i="84"/>
  <c r="AA96" i="84"/>
  <c r="Z95" i="84"/>
  <c r="AV9" i="84" l="1"/>
  <c r="AT7" i="84"/>
  <c r="AU8" i="84"/>
  <c r="AU97" i="84"/>
  <c r="AT96" i="84"/>
  <c r="F2" i="84"/>
  <c r="AM2" i="84"/>
  <c r="AO4" i="84"/>
  <c r="AN3" i="84"/>
  <c r="AA97" i="84"/>
  <c r="Y95" i="84"/>
  <c r="Z96" i="84"/>
  <c r="AT8" i="84" l="1"/>
  <c r="AV10" i="84"/>
  <c r="AU9" i="84"/>
  <c r="E2" i="84"/>
  <c r="BB2" i="84" s="1"/>
  <c r="F3" i="84"/>
  <c r="BC2" i="84"/>
  <c r="AT97" i="84"/>
  <c r="AN4" i="84"/>
  <c r="AO5" i="84"/>
  <c r="AM3" i="84"/>
  <c r="Z97" i="84"/>
  <c r="Y96" i="84"/>
  <c r="AH2" i="84"/>
  <c r="AV11" i="84" l="1"/>
  <c r="AT9" i="84"/>
  <c r="AU10" i="84"/>
  <c r="BC3" i="84"/>
  <c r="D2" i="84"/>
  <c r="BA2" i="84" s="1"/>
  <c r="E3" i="84"/>
  <c r="BB3" i="84" s="1"/>
  <c r="F4" i="84"/>
  <c r="AO6" i="84"/>
  <c r="AM4" i="84"/>
  <c r="AN5" i="84"/>
  <c r="Y97" i="84"/>
  <c r="AG2" i="84"/>
  <c r="AH3" i="84"/>
  <c r="AU11" i="84" l="1"/>
  <c r="AT10" i="84"/>
  <c r="AV12" i="84"/>
  <c r="D3" i="84"/>
  <c r="BA3" i="84" s="1"/>
  <c r="F5" i="84"/>
  <c r="E4" i="84"/>
  <c r="BB4" i="84" s="1"/>
  <c r="BC4" i="84"/>
  <c r="AN6" i="84"/>
  <c r="AO7" i="84"/>
  <c r="AM5" i="84"/>
  <c r="AF2" i="84"/>
  <c r="AG3" i="84"/>
  <c r="AH4" i="84"/>
  <c r="AU12" i="84" l="1"/>
  <c r="AT11" i="84"/>
  <c r="AV13" i="84"/>
  <c r="BC5" i="84"/>
  <c r="F6" i="84"/>
  <c r="D4" i="84"/>
  <c r="BA4" i="84" s="1"/>
  <c r="E5" i="84"/>
  <c r="BB5" i="84" s="1"/>
  <c r="AO8" i="84"/>
  <c r="AM6" i="84"/>
  <c r="AN7" i="84"/>
  <c r="AG4" i="84"/>
  <c r="AH5" i="84"/>
  <c r="AF3" i="84"/>
  <c r="AT12" i="84" l="1"/>
  <c r="AU13" i="84"/>
  <c r="AV14" i="84"/>
  <c r="F7" i="84"/>
  <c r="D5" i="84"/>
  <c r="BA5" i="84" s="1"/>
  <c r="BC6" i="84"/>
  <c r="E6" i="84"/>
  <c r="BB6" i="84" s="1"/>
  <c r="AN8" i="84"/>
  <c r="AM7" i="84"/>
  <c r="AO9" i="84"/>
  <c r="AG5" i="84"/>
  <c r="AH6" i="84"/>
  <c r="AF4" i="84"/>
  <c r="AT13" i="84" l="1"/>
  <c r="AV15" i="84"/>
  <c r="AU14" i="84"/>
  <c r="E7" i="84"/>
  <c r="BB7" i="84" s="1"/>
  <c r="F8" i="84"/>
  <c r="D6" i="84"/>
  <c r="BA6" i="84" s="1"/>
  <c r="BC7" i="84"/>
  <c r="AM8" i="84"/>
  <c r="AO10" i="84"/>
  <c r="AN9" i="84"/>
  <c r="AH7" i="84"/>
  <c r="AG6" i="84"/>
  <c r="AF5" i="84"/>
  <c r="AT14" i="84" l="1"/>
  <c r="AU15" i="84"/>
  <c r="AV16" i="84"/>
  <c r="F9" i="84"/>
  <c r="BC8" i="84"/>
  <c r="D7" i="84"/>
  <c r="BA7" i="84" s="1"/>
  <c r="E8" i="84"/>
  <c r="BB8" i="84" s="1"/>
  <c r="AM9" i="84"/>
  <c r="AN10" i="84"/>
  <c r="AO11" i="84"/>
  <c r="AH8" i="84"/>
  <c r="AG7" i="84"/>
  <c r="AF6" i="84"/>
  <c r="AT15" i="84" l="1"/>
  <c r="AU16" i="84"/>
  <c r="AV17" i="84"/>
  <c r="D8" i="84"/>
  <c r="BA8" i="84" s="1"/>
  <c r="F10" i="84"/>
  <c r="E9" i="84"/>
  <c r="BB9" i="84" s="1"/>
  <c r="BC9" i="84"/>
  <c r="AO12" i="84"/>
  <c r="AN11" i="84"/>
  <c r="AM10" i="84"/>
  <c r="AG8" i="84"/>
  <c r="AF7" i="84"/>
  <c r="AH9" i="84"/>
  <c r="AV18" i="84" l="1"/>
  <c r="AT16" i="84"/>
  <c r="AU17" i="84"/>
  <c r="F11" i="84"/>
  <c r="E10" i="84"/>
  <c r="BB10" i="84" s="1"/>
  <c r="D9" i="84"/>
  <c r="BA9" i="84" s="1"/>
  <c r="BC10" i="84"/>
  <c r="AO13" i="84"/>
  <c r="AM11" i="84"/>
  <c r="AN12" i="84"/>
  <c r="AH10" i="84"/>
  <c r="AF8" i="84"/>
  <c r="AG9" i="84"/>
  <c r="AU18" i="84" l="1"/>
  <c r="AT17" i="84"/>
  <c r="AV19" i="84"/>
  <c r="BC11" i="84"/>
  <c r="F12" i="84"/>
  <c r="D10" i="84"/>
  <c r="BA10" i="84" s="1"/>
  <c r="E11" i="84"/>
  <c r="BB11" i="84" s="1"/>
  <c r="AN13" i="84"/>
  <c r="AO14" i="84"/>
  <c r="AM12" i="84"/>
  <c r="AH11" i="84"/>
  <c r="AF9" i="84"/>
  <c r="AG10" i="84"/>
  <c r="AV20" i="84" l="1"/>
  <c r="AU19" i="84"/>
  <c r="AT18" i="84"/>
  <c r="BC12" i="84"/>
  <c r="F13" i="84"/>
  <c r="D11" i="84"/>
  <c r="BA11" i="84" s="1"/>
  <c r="E12" i="84"/>
  <c r="BB12" i="84" s="1"/>
  <c r="AM13" i="84"/>
  <c r="AO15" i="84"/>
  <c r="AN14" i="84"/>
  <c r="AF10" i="84"/>
  <c r="AH12" i="84"/>
  <c r="AG11" i="84"/>
  <c r="AV21" i="84" l="1"/>
  <c r="AT19" i="84"/>
  <c r="AU20" i="84"/>
  <c r="E13" i="84"/>
  <c r="BB13" i="84" s="1"/>
  <c r="D12" i="84"/>
  <c r="BA12" i="84" s="1"/>
  <c r="BC13" i="84"/>
  <c r="F14" i="84"/>
  <c r="AN15" i="84"/>
  <c r="AO16" i="84"/>
  <c r="AM14" i="84"/>
  <c r="AH13" i="84"/>
  <c r="AG12" i="84"/>
  <c r="AF11" i="84"/>
  <c r="AT20" i="84" l="1"/>
  <c r="AV22" i="84"/>
  <c r="AU21" i="84"/>
  <c r="D13" i="84"/>
  <c r="BA13" i="84" s="1"/>
  <c r="E14" i="84"/>
  <c r="BB14" i="84" s="1"/>
  <c r="F15" i="84"/>
  <c r="BC14" i="84"/>
  <c r="AN16" i="84"/>
  <c r="AM15" i="84"/>
  <c r="AO17" i="84"/>
  <c r="AH14" i="84"/>
  <c r="AG13" i="84"/>
  <c r="AF12" i="84"/>
  <c r="AV23" i="84" l="1"/>
  <c r="AT21" i="84"/>
  <c r="AU22" i="84"/>
  <c r="F16" i="84"/>
  <c r="D14" i="84"/>
  <c r="BA14" i="84" s="1"/>
  <c r="BC15" i="84"/>
  <c r="E15" i="84"/>
  <c r="BB15" i="84" s="1"/>
  <c r="AN17" i="84"/>
  <c r="AO18" i="84"/>
  <c r="AO19" i="84" s="1"/>
  <c r="AM16" i="84"/>
  <c r="AG14" i="84"/>
  <c r="AF13" i="84"/>
  <c r="AH15" i="84"/>
  <c r="AT22" i="84" l="1"/>
  <c r="AU23" i="84"/>
  <c r="AV24" i="84"/>
  <c r="AN19" i="84"/>
  <c r="AM18" i="84"/>
  <c r="AO20" i="84"/>
  <c r="E16" i="84"/>
  <c r="BB16" i="84" s="1"/>
  <c r="D15" i="84"/>
  <c r="BA15" i="84" s="1"/>
  <c r="F17" i="84"/>
  <c r="BC16" i="84"/>
  <c r="AM17" i="84"/>
  <c r="AN18" i="84"/>
  <c r="AH16" i="84"/>
  <c r="AF14" i="84"/>
  <c r="AG15" i="84"/>
  <c r="AU24" i="84" l="1"/>
  <c r="AT23" i="84"/>
  <c r="AV25" i="84"/>
  <c r="AO21" i="84"/>
  <c r="AN20" i="84"/>
  <c r="AM19" i="84"/>
  <c r="D16" i="84"/>
  <c r="BA16" i="84" s="1"/>
  <c r="BC17" i="84"/>
  <c r="E17" i="84"/>
  <c r="BB17" i="84" s="1"/>
  <c r="F18" i="84"/>
  <c r="F19" i="84" s="1"/>
  <c r="F20" i="84" s="1"/>
  <c r="F21" i="84" s="1"/>
  <c r="F22" i="84" s="1"/>
  <c r="F23" i="84" s="1"/>
  <c r="F24" i="84" s="1"/>
  <c r="F25" i="84" s="1"/>
  <c r="AH17" i="84"/>
  <c r="AF15" i="84"/>
  <c r="AG16" i="84"/>
  <c r="AV26" i="84" l="1"/>
  <c r="AU25" i="84"/>
  <c r="AT24" i="84"/>
  <c r="AO22" i="84"/>
  <c r="AM20" i="84"/>
  <c r="AN21" i="84"/>
  <c r="F26" i="84"/>
  <c r="BC25" i="84"/>
  <c r="E25" i="84"/>
  <c r="BB25" i="84" s="1"/>
  <c r="D24" i="84"/>
  <c r="BA24" i="84" s="1"/>
  <c r="E24" i="84"/>
  <c r="BB24" i="84" s="1"/>
  <c r="D23" i="84"/>
  <c r="BA23" i="84" s="1"/>
  <c r="BC24" i="84"/>
  <c r="D22" i="84"/>
  <c r="BA22" i="84" s="1"/>
  <c r="E23" i="84"/>
  <c r="BB23" i="84" s="1"/>
  <c r="BC23" i="84"/>
  <c r="E22" i="84"/>
  <c r="BB22" i="84" s="1"/>
  <c r="BC22" i="84"/>
  <c r="D21" i="84"/>
  <c r="BA21" i="84" s="1"/>
  <c r="D20" i="84"/>
  <c r="BA20" i="84" s="1"/>
  <c r="BC21" i="84"/>
  <c r="E21" i="84"/>
  <c r="BB21" i="84" s="1"/>
  <c r="D19" i="84"/>
  <c r="BA19" i="84" s="1"/>
  <c r="BC20" i="84"/>
  <c r="E20" i="84"/>
  <c r="BB20" i="84" s="1"/>
  <c r="BC19" i="84"/>
  <c r="E19" i="84"/>
  <c r="BB19" i="84" s="1"/>
  <c r="D18" i="84"/>
  <c r="BA18" i="84" s="1"/>
  <c r="D17" i="84"/>
  <c r="BA17" i="84" s="1"/>
  <c r="E18" i="84"/>
  <c r="BB18" i="84" s="1"/>
  <c r="BC18" i="84"/>
  <c r="AH18" i="84"/>
  <c r="AH19" i="84" s="1"/>
  <c r="AG17" i="84"/>
  <c r="AF16" i="84"/>
  <c r="AV27" i="84" l="1"/>
  <c r="AU26" i="84"/>
  <c r="AT25" i="84"/>
  <c r="AN22" i="84"/>
  <c r="AM21" i="84"/>
  <c r="AO23" i="84"/>
  <c r="AH20" i="84"/>
  <c r="AG19" i="84"/>
  <c r="AF18" i="84"/>
  <c r="BC26" i="84"/>
  <c r="F27" i="84"/>
  <c r="D25" i="84"/>
  <c r="BA25" i="84" s="1"/>
  <c r="E26" i="84"/>
  <c r="BB26" i="84" s="1"/>
  <c r="AF17" i="84"/>
  <c r="AG18" i="84"/>
  <c r="AV28" i="84" l="1"/>
  <c r="AU27" i="84"/>
  <c r="AT26" i="84"/>
  <c r="AO24" i="84"/>
  <c r="AM22" i="84"/>
  <c r="AN23" i="84"/>
  <c r="AG20" i="84"/>
  <c r="AF19" i="84"/>
  <c r="AH21" i="84"/>
  <c r="F28" i="84"/>
  <c r="F29" i="84" s="1"/>
  <c r="F30" i="84" s="1"/>
  <c r="BC27" i="84"/>
  <c r="E27" i="84"/>
  <c r="BB27" i="84" s="1"/>
  <c r="D26" i="84"/>
  <c r="BA26" i="84" s="1"/>
  <c r="AV29" i="84" l="1"/>
  <c r="AT27" i="84"/>
  <c r="AU28" i="84"/>
  <c r="F31" i="84"/>
  <c r="F32" i="84" s="1"/>
  <c r="BC30" i="84"/>
  <c r="D29" i="84"/>
  <c r="BA29" i="84" s="1"/>
  <c r="E30" i="84"/>
  <c r="BB30" i="84" s="1"/>
  <c r="AN24" i="84"/>
  <c r="AO25" i="84"/>
  <c r="AM23" i="84"/>
  <c r="AH22" i="84"/>
  <c r="AF20" i="84"/>
  <c r="AG21" i="84"/>
  <c r="BC29" i="84"/>
  <c r="E29" i="84"/>
  <c r="BB29" i="84" s="1"/>
  <c r="D28" i="84"/>
  <c r="BA28" i="84" s="1"/>
  <c r="E28" i="84"/>
  <c r="BB28" i="84" s="1"/>
  <c r="D27" i="84"/>
  <c r="BA27" i="84" s="1"/>
  <c r="BC28" i="84"/>
  <c r="AU29" i="84" l="1"/>
  <c r="AT28" i="84"/>
  <c r="F33" i="84"/>
  <c r="BC32" i="84"/>
  <c r="D31" i="84"/>
  <c r="BA31" i="84" s="1"/>
  <c r="E32" i="84"/>
  <c r="BB32" i="84" s="1"/>
  <c r="E31" i="84"/>
  <c r="BB31" i="84" s="1"/>
  <c r="D30" i="84"/>
  <c r="BA30" i="84" s="1"/>
  <c r="BC31" i="84"/>
  <c r="AO26" i="84"/>
  <c r="AN25" i="84"/>
  <c r="AM24" i="84"/>
  <c r="AF21" i="84"/>
  <c r="AH23" i="84"/>
  <c r="AG22" i="84"/>
  <c r="E33" i="84" l="1"/>
  <c r="BB33" i="84" s="1"/>
  <c r="D32" i="84"/>
  <c r="BA32" i="84" s="1"/>
  <c r="F34" i="84"/>
  <c r="BC33" i="84"/>
  <c r="AO27" i="84"/>
  <c r="AM25" i="84"/>
  <c r="AN26" i="84"/>
  <c r="AF22" i="84"/>
  <c r="AH24" i="84"/>
  <c r="AG23" i="84"/>
  <c r="E34" i="84" l="1"/>
  <c r="BB34" i="84" s="1"/>
  <c r="F35" i="84"/>
  <c r="D33" i="84"/>
  <c r="BA33" i="84" s="1"/>
  <c r="BC34" i="84"/>
  <c r="AO28" i="84"/>
  <c r="AM26" i="84"/>
  <c r="AN27" i="84"/>
  <c r="AF23" i="84"/>
  <c r="AG24" i="84"/>
  <c r="AH25" i="84"/>
  <c r="BC35" i="84" l="1"/>
  <c r="D34" i="84"/>
  <c r="BA34" i="84" s="1"/>
  <c r="F36" i="84"/>
  <c r="E35" i="84"/>
  <c r="BB35" i="84" s="1"/>
  <c r="AO29" i="84"/>
  <c r="AM27" i="84"/>
  <c r="AN28" i="84"/>
  <c r="AH26" i="84"/>
  <c r="AF24" i="84"/>
  <c r="AG25" i="84"/>
  <c r="BC36" i="84" l="1"/>
  <c r="D35" i="84"/>
  <c r="BA35" i="84" s="1"/>
  <c r="F37" i="84"/>
  <c r="E36" i="84"/>
  <c r="BB36" i="84" s="1"/>
  <c r="AO30" i="84"/>
  <c r="AN29" i="84"/>
  <c r="AM28" i="84"/>
  <c r="AH27" i="84"/>
  <c r="AF25" i="84"/>
  <c r="AG26" i="84"/>
  <c r="F38" i="84" l="1"/>
  <c r="BC37" i="84"/>
  <c r="D36" i="84"/>
  <c r="BA36" i="84" s="1"/>
  <c r="E37" i="84"/>
  <c r="BB37" i="84" s="1"/>
  <c r="AO31" i="84"/>
  <c r="AO32" i="84" s="1"/>
  <c r="AM29" i="84"/>
  <c r="AN30" i="84"/>
  <c r="AH28" i="84"/>
  <c r="AG27" i="84"/>
  <c r="AF26" i="84"/>
  <c r="AO33" i="84" l="1"/>
  <c r="AN32" i="84"/>
  <c r="AM31" i="84"/>
  <c r="E38" i="84"/>
  <c r="BB38" i="84" s="1"/>
  <c r="BC38" i="84"/>
  <c r="F39" i="84"/>
  <c r="D37" i="84"/>
  <c r="BA37" i="84" s="1"/>
  <c r="AM30" i="84"/>
  <c r="AN31" i="84"/>
  <c r="AH29" i="84"/>
  <c r="AG28" i="84"/>
  <c r="AF27" i="84"/>
  <c r="AN33" i="84" l="1"/>
  <c r="AO34" i="84"/>
  <c r="AM32" i="84"/>
  <c r="BC39" i="84"/>
  <c r="E39" i="84"/>
  <c r="BB39" i="84" s="1"/>
  <c r="D38" i="84"/>
  <c r="BA38" i="84" s="1"/>
  <c r="F40" i="84"/>
  <c r="AF28" i="84"/>
  <c r="AG29" i="84"/>
  <c r="AO35" i="84" l="1"/>
  <c r="AM33" i="84"/>
  <c r="AN34" i="84"/>
  <c r="E40" i="84"/>
  <c r="BB40" i="84" s="1"/>
  <c r="BC40" i="84"/>
  <c r="D39" i="84"/>
  <c r="BA39" i="84" s="1"/>
  <c r="F41" i="84"/>
  <c r="AO36" i="84" l="1"/>
  <c r="AN35" i="84"/>
  <c r="AM34" i="84"/>
  <c r="D40" i="84"/>
  <c r="BA40" i="84" s="1"/>
  <c r="F42" i="84"/>
  <c r="E41" i="84"/>
  <c r="BB41" i="84" s="1"/>
  <c r="BC41" i="84"/>
  <c r="AO37" i="84" l="1"/>
  <c r="AN36" i="84"/>
  <c r="AM35" i="84"/>
  <c r="BC42" i="84"/>
  <c r="E42" i="84"/>
  <c r="BB42" i="84" s="1"/>
  <c r="F43" i="84"/>
  <c r="D41" i="84"/>
  <c r="BA41" i="84" s="1"/>
  <c r="AO38" i="84" l="1"/>
  <c r="AN37" i="84"/>
  <c r="AM36" i="84"/>
  <c r="F44" i="84"/>
  <c r="E43" i="84"/>
  <c r="BB43" i="84" s="1"/>
  <c r="D42" i="84"/>
  <c r="BA42" i="84" s="1"/>
  <c r="BC43" i="84"/>
  <c r="AM37" i="84" l="1"/>
  <c r="AN38" i="84"/>
  <c r="AO39" i="84"/>
  <c r="E44" i="84"/>
  <c r="BB44" i="84" s="1"/>
  <c r="D43" i="84"/>
  <c r="BA43" i="84" s="1"/>
  <c r="BC44" i="84"/>
  <c r="F45" i="84"/>
  <c r="AN39" i="84" l="1"/>
  <c r="AM38" i="84"/>
  <c r="AO40" i="84"/>
  <c r="E45" i="84"/>
  <c r="BB45" i="84" s="1"/>
  <c r="D44" i="84"/>
  <c r="BA44" i="84" s="1"/>
  <c r="BC45" i="84"/>
  <c r="F46" i="84"/>
  <c r="AM39" i="84" l="1"/>
  <c r="AN40" i="84"/>
  <c r="AO41" i="84"/>
  <c r="F47" i="84"/>
  <c r="E46" i="84"/>
  <c r="BB46" i="84" s="1"/>
  <c r="D45" i="84"/>
  <c r="BA45" i="84" s="1"/>
  <c r="BC46" i="84"/>
  <c r="AN41" i="84" l="1"/>
  <c r="AO42" i="84"/>
  <c r="AM40" i="84"/>
  <c r="F48" i="84"/>
  <c r="E47" i="84"/>
  <c r="BB47" i="84" s="1"/>
  <c r="BC47" i="84"/>
  <c r="D46" i="84"/>
  <c r="BA46" i="84" s="1"/>
  <c r="AO43" i="84" l="1"/>
  <c r="AM41" i="84"/>
  <c r="AN42" i="84"/>
  <c r="F49" i="84"/>
  <c r="BC48" i="84"/>
  <c r="E48" i="84"/>
  <c r="BB48" i="84" s="1"/>
  <c r="D47" i="84"/>
  <c r="BA47" i="84" s="1"/>
  <c r="AN43" i="84" l="1"/>
  <c r="AM42" i="84"/>
  <c r="AO44" i="84"/>
  <c r="F50" i="84"/>
  <c r="BC49" i="84"/>
  <c r="D48" i="84"/>
  <c r="BA48" i="84" s="1"/>
  <c r="E49" i="84"/>
  <c r="BB49" i="84" s="1"/>
  <c r="AO45" i="84" l="1"/>
  <c r="AM43" i="84"/>
  <c r="AN44" i="84"/>
  <c r="BC50" i="84"/>
  <c r="E50" i="84"/>
  <c r="BB50" i="84" s="1"/>
  <c r="F51" i="84"/>
  <c r="D49" i="84"/>
  <c r="BA49" i="84" s="1"/>
  <c r="AN45" i="84" l="1"/>
  <c r="AM44" i="84"/>
  <c r="AO46" i="84"/>
  <c r="BC51" i="84"/>
  <c r="D50" i="84"/>
  <c r="BA50" i="84" s="1"/>
  <c r="E51" i="84"/>
  <c r="BB51" i="84" s="1"/>
  <c r="F52" i="84"/>
  <c r="AO47" i="84" l="1"/>
  <c r="AN46" i="84"/>
  <c r="AM45" i="84"/>
  <c r="BC52" i="84"/>
  <c r="E52" i="84"/>
  <c r="BB52" i="84" s="1"/>
  <c r="F53" i="84"/>
  <c r="D51" i="84"/>
  <c r="BA51" i="84" s="1"/>
  <c r="AM46" i="84" l="1"/>
  <c r="AO48" i="84"/>
  <c r="AN47" i="84"/>
  <c r="E53" i="84"/>
  <c r="BB53" i="84" s="1"/>
  <c r="F54" i="84"/>
  <c r="D52" i="84"/>
  <c r="BA52" i="84" s="1"/>
  <c r="BC53" i="84"/>
  <c r="AO49" i="84" l="1"/>
  <c r="AM47" i="84"/>
  <c r="AN48" i="84"/>
  <c r="F55" i="84"/>
  <c r="D53" i="84"/>
  <c r="BA53" i="84" s="1"/>
  <c r="BC54" i="84"/>
  <c r="E54" i="84"/>
  <c r="BB54" i="84" s="1"/>
  <c r="AM48" i="84" l="1"/>
  <c r="AN49" i="84"/>
  <c r="AO50" i="84"/>
  <c r="BC55" i="84"/>
  <c r="D54" i="84"/>
  <c r="BA54" i="84" s="1"/>
  <c r="E55" i="84"/>
  <c r="BB55" i="84" s="1"/>
  <c r="F56" i="84"/>
  <c r="AO51" i="84" l="1"/>
  <c r="AN50" i="84"/>
  <c r="AM49" i="84"/>
  <c r="D55" i="84"/>
  <c r="BA55" i="84" s="1"/>
  <c r="E56" i="84"/>
  <c r="BB56" i="84" s="1"/>
  <c r="BC56" i="84"/>
  <c r="F57" i="84"/>
  <c r="AN51" i="84" l="1"/>
  <c r="AM50" i="84"/>
  <c r="AO52" i="84"/>
  <c r="E57" i="84"/>
  <c r="BB57" i="84" s="1"/>
  <c r="D56" i="84"/>
  <c r="BA56" i="84" s="1"/>
  <c r="BC57" i="84"/>
  <c r="F58" i="84"/>
  <c r="AO53" i="84" l="1"/>
  <c r="AN52" i="84"/>
  <c r="AM51" i="84"/>
  <c r="E58" i="84"/>
  <c r="BB58" i="84" s="1"/>
  <c r="F59" i="84"/>
  <c r="D57" i="84"/>
  <c r="BA57" i="84" s="1"/>
  <c r="BC58" i="84"/>
  <c r="AO54" i="84" l="1"/>
  <c r="AN53" i="84"/>
  <c r="AM52" i="84"/>
  <c r="F60" i="84"/>
  <c r="E59" i="84"/>
  <c r="BB59" i="84" s="1"/>
  <c r="D58" i="84"/>
  <c r="BA58" i="84" s="1"/>
  <c r="BC59" i="84"/>
  <c r="AM53" i="84" l="1"/>
  <c r="AN54" i="84"/>
  <c r="AO55" i="84"/>
  <c r="E60" i="84"/>
  <c r="BB60" i="84" s="1"/>
  <c r="D59" i="84"/>
  <c r="BA59" i="84" s="1"/>
  <c r="BC60" i="84"/>
  <c r="F61" i="84"/>
  <c r="AO56" i="84" l="1"/>
  <c r="AN55" i="84"/>
  <c r="AM54" i="84"/>
  <c r="BC61" i="84"/>
  <c r="E61" i="84"/>
  <c r="BB61" i="84" s="1"/>
  <c r="F62" i="84"/>
  <c r="D60" i="84"/>
  <c r="BA60" i="84" s="1"/>
  <c r="AO57" i="84" l="1"/>
  <c r="AM55" i="84"/>
  <c r="AN56" i="84"/>
  <c r="F63" i="84"/>
  <c r="E62" i="84"/>
  <c r="BB62" i="84" s="1"/>
  <c r="BC62" i="84"/>
  <c r="D61" i="84"/>
  <c r="BA61" i="84" s="1"/>
  <c r="T90" i="84"/>
  <c r="AO58" i="84" l="1"/>
  <c r="AN57" i="84"/>
  <c r="AM56" i="84"/>
  <c r="F64" i="84"/>
  <c r="BC63" i="84"/>
  <c r="E63" i="84"/>
  <c r="BB63" i="84" s="1"/>
  <c r="D62" i="84"/>
  <c r="BA62" i="84" s="1"/>
  <c r="T91" i="84"/>
  <c r="R89" i="84"/>
  <c r="S90" i="84"/>
  <c r="AO59" i="84" l="1"/>
  <c r="AN58" i="84"/>
  <c r="AM57" i="84"/>
  <c r="E64" i="84"/>
  <c r="BB64" i="84" s="1"/>
  <c r="D63" i="84"/>
  <c r="BA63" i="84" s="1"/>
  <c r="BC64" i="84"/>
  <c r="F65" i="84"/>
  <c r="T92" i="84"/>
  <c r="R90" i="84"/>
  <c r="S91" i="84"/>
  <c r="AO60" i="84" l="1"/>
  <c r="AN59" i="84"/>
  <c r="AM58" i="84"/>
  <c r="F66" i="84"/>
  <c r="BC65" i="84"/>
  <c r="E65" i="84"/>
  <c r="BB65" i="84" s="1"/>
  <c r="D64" i="84"/>
  <c r="BA64" i="84" s="1"/>
  <c r="S92" i="84"/>
  <c r="T93" i="84"/>
  <c r="T94" i="84" s="1"/>
  <c r="R91" i="84"/>
  <c r="AO61" i="84" l="1"/>
  <c r="AM59" i="84"/>
  <c r="AN60" i="84"/>
  <c r="T95" i="84"/>
  <c r="S94" i="84"/>
  <c r="R93" i="84"/>
  <c r="D65" i="84"/>
  <c r="BA65" i="84" s="1"/>
  <c r="F67" i="84"/>
  <c r="E66" i="84"/>
  <c r="BB66" i="84" s="1"/>
  <c r="BC66" i="84"/>
  <c r="R92" i="84"/>
  <c r="S93" i="84"/>
  <c r="AO62" i="84" l="1"/>
  <c r="AM60" i="84"/>
  <c r="AN61" i="84"/>
  <c r="S95" i="84"/>
  <c r="R94" i="84"/>
  <c r="T96" i="84"/>
  <c r="E67" i="84"/>
  <c r="BB67" i="84" s="1"/>
  <c r="F68" i="84"/>
  <c r="D66" i="84"/>
  <c r="BA66" i="84" s="1"/>
  <c r="BC67" i="84"/>
  <c r="AM61" i="84" l="1"/>
  <c r="AN62" i="84"/>
  <c r="AO63" i="84"/>
  <c r="R95" i="84"/>
  <c r="S96" i="84"/>
  <c r="T97" i="84"/>
  <c r="F69" i="84"/>
  <c r="E68" i="84"/>
  <c r="BB68" i="84" s="1"/>
  <c r="BC68" i="84"/>
  <c r="D67" i="84"/>
  <c r="BA67" i="84" s="1"/>
  <c r="AO64" i="84" l="1"/>
  <c r="AN63" i="84"/>
  <c r="AM62" i="84"/>
  <c r="S97" i="84"/>
  <c r="R96" i="84"/>
  <c r="AA2" i="84"/>
  <c r="F70" i="84"/>
  <c r="D68" i="84"/>
  <c r="BA68" i="84" s="1"/>
  <c r="BC69" i="84"/>
  <c r="E69" i="84"/>
  <c r="BB69" i="84" s="1"/>
  <c r="AO65" i="84" l="1"/>
  <c r="AN64" i="84"/>
  <c r="AM63" i="84"/>
  <c r="AA3" i="84"/>
  <c r="R97" i="84"/>
  <c r="Z2" i="84"/>
  <c r="F71" i="84"/>
  <c r="D69" i="84"/>
  <c r="BA69" i="84" s="1"/>
  <c r="BC70" i="84"/>
  <c r="E70" i="84"/>
  <c r="BB70" i="84" s="1"/>
  <c r="AN65" i="84" l="1"/>
  <c r="AM64" i="84"/>
  <c r="AO66" i="84"/>
  <c r="AA4" i="84"/>
  <c r="Z3" i="84"/>
  <c r="Y2" i="84"/>
  <c r="BC71" i="84"/>
  <c r="E71" i="84"/>
  <c r="BB71" i="84" s="1"/>
  <c r="F72" i="84"/>
  <c r="D70" i="84"/>
  <c r="BA70" i="84" s="1"/>
  <c r="AM65" i="84" l="1"/>
  <c r="AO67" i="84"/>
  <c r="AN66" i="84"/>
  <c r="Z4" i="84"/>
  <c r="Y3" i="84"/>
  <c r="AA5" i="84"/>
  <c r="D71" i="84"/>
  <c r="BA71" i="84" s="1"/>
  <c r="BC72" i="84"/>
  <c r="E72" i="84"/>
  <c r="BB72" i="84" s="1"/>
  <c r="F73" i="84"/>
  <c r="F92" i="84"/>
  <c r="AM66" i="84" l="1"/>
  <c r="AO68" i="84"/>
  <c r="AN67" i="84"/>
  <c r="AA6" i="84"/>
  <c r="Y4" i="84"/>
  <c r="Z5" i="84"/>
  <c r="BC73" i="84"/>
  <c r="D72" i="84"/>
  <c r="BA72" i="84" s="1"/>
  <c r="E73" i="84"/>
  <c r="BB73" i="84" s="1"/>
  <c r="F74" i="84"/>
  <c r="F93" i="84"/>
  <c r="D91" i="84"/>
  <c r="BA91" i="84" s="1"/>
  <c r="E92" i="84"/>
  <c r="BB92" i="84" s="1"/>
  <c r="BC92" i="84"/>
  <c r="AN68" i="84" l="1"/>
  <c r="AM67" i="84"/>
  <c r="AO69" i="84"/>
  <c r="AA7" i="84"/>
  <c r="Z6" i="84"/>
  <c r="Y5" i="84"/>
  <c r="F75" i="84"/>
  <c r="E74" i="84"/>
  <c r="BB74" i="84" s="1"/>
  <c r="BC74" i="84"/>
  <c r="D73" i="84"/>
  <c r="BA73" i="84" s="1"/>
  <c r="F94" i="84"/>
  <c r="BC93" i="84"/>
  <c r="D92" i="84"/>
  <c r="BA92" i="84" s="1"/>
  <c r="E93" i="84"/>
  <c r="BB93" i="84" s="1"/>
  <c r="AO70" i="84" l="1"/>
  <c r="AN69" i="84"/>
  <c r="AM68" i="84"/>
  <c r="AA8" i="84"/>
  <c r="Y6" i="84"/>
  <c r="Z7" i="84"/>
  <c r="F76" i="84"/>
  <c r="E75" i="84"/>
  <c r="BB75" i="84" s="1"/>
  <c r="D74" i="84"/>
  <c r="BA74" i="84" s="1"/>
  <c r="BC75" i="84"/>
  <c r="F95" i="84"/>
  <c r="E94" i="84"/>
  <c r="BB94" i="84" s="1"/>
  <c r="D93" i="84"/>
  <c r="BA93" i="84" s="1"/>
  <c r="BC94" i="84"/>
  <c r="AO71" i="84" l="1"/>
  <c r="AN70" i="84"/>
  <c r="AM69" i="84"/>
  <c r="AA9" i="84"/>
  <c r="Z8" i="84"/>
  <c r="Y7" i="84"/>
  <c r="D75" i="84"/>
  <c r="BA75" i="84" s="1"/>
  <c r="F77" i="84"/>
  <c r="BC76" i="84"/>
  <c r="E76" i="84"/>
  <c r="BB76" i="84" s="1"/>
  <c r="F96" i="84"/>
  <c r="BC95" i="84"/>
  <c r="D94" i="84"/>
  <c r="BA94" i="84" s="1"/>
  <c r="E95" i="84"/>
  <c r="BB95" i="84" s="1"/>
  <c r="AO72" i="84" l="1"/>
  <c r="AN71" i="84"/>
  <c r="AM70" i="84"/>
  <c r="Z9" i="84"/>
  <c r="Y8" i="84"/>
  <c r="AA10" i="84"/>
  <c r="BC77" i="84"/>
  <c r="D76" i="84"/>
  <c r="BA76" i="84" s="1"/>
  <c r="F78" i="84"/>
  <c r="E77" i="84"/>
  <c r="BB77" i="84" s="1"/>
  <c r="F97" i="84"/>
  <c r="BC96" i="84"/>
  <c r="E96" i="84"/>
  <c r="BB96" i="84" s="1"/>
  <c r="D95" i="84"/>
  <c r="BA95" i="84" s="1"/>
  <c r="AN72" i="84" l="1"/>
  <c r="AM71" i="84"/>
  <c r="AO73" i="84"/>
  <c r="AA11" i="84"/>
  <c r="Z10" i="84"/>
  <c r="Y9" i="84"/>
  <c r="F79" i="84"/>
  <c r="D77" i="84"/>
  <c r="BA77" i="84" s="1"/>
  <c r="BC78" i="84"/>
  <c r="E78" i="84"/>
  <c r="BB78" i="84" s="1"/>
  <c r="M2" i="84"/>
  <c r="E97" i="84"/>
  <c r="BB97" i="84" s="1"/>
  <c r="BC97" i="84"/>
  <c r="D96" i="84"/>
  <c r="BA96" i="84" s="1"/>
  <c r="AM72" i="84" l="1"/>
  <c r="AN73" i="84"/>
  <c r="AO74" i="84"/>
  <c r="Y10" i="84"/>
  <c r="Z11" i="84"/>
  <c r="AA12" i="84"/>
  <c r="E79" i="84"/>
  <c r="BB79" i="84" s="1"/>
  <c r="D78" i="84"/>
  <c r="BA78" i="84" s="1"/>
  <c r="F80" i="84"/>
  <c r="BC79" i="84"/>
  <c r="M3" i="84"/>
  <c r="L2" i="84"/>
  <c r="D97" i="84"/>
  <c r="BA97" i="84" s="1"/>
  <c r="AO75" i="84" l="1"/>
  <c r="AN74" i="84"/>
  <c r="AM73" i="84"/>
  <c r="Z12" i="84"/>
  <c r="AA13" i="84"/>
  <c r="Y11" i="84"/>
  <c r="F81" i="84"/>
  <c r="D79" i="84"/>
  <c r="BA79" i="84" s="1"/>
  <c r="BC80" i="84"/>
  <c r="E80" i="84"/>
  <c r="BB80" i="84" s="1"/>
  <c r="M4" i="84"/>
  <c r="L3" i="84"/>
  <c r="K2" i="84"/>
  <c r="AO76" i="84" l="1"/>
  <c r="AN75" i="84"/>
  <c r="AM74" i="84"/>
  <c r="Y12" i="84"/>
  <c r="AA14" i="84"/>
  <c r="Z13" i="84"/>
  <c r="F82" i="84"/>
  <c r="E81" i="84"/>
  <c r="BB81" i="84" s="1"/>
  <c r="D80" i="84"/>
  <c r="BA80" i="84" s="1"/>
  <c r="BC81" i="84"/>
  <c r="L4" i="84"/>
  <c r="M5" i="84"/>
  <c r="K3" i="84"/>
  <c r="AO77" i="84" l="1"/>
  <c r="AM75" i="84"/>
  <c r="AN76" i="84"/>
  <c r="Y13" i="84"/>
  <c r="AA15" i="84"/>
  <c r="Z14" i="84"/>
  <c r="BC82" i="84"/>
  <c r="E82" i="84"/>
  <c r="BB82" i="84" s="1"/>
  <c r="D81" i="84"/>
  <c r="BA81" i="84" s="1"/>
  <c r="F83" i="84"/>
  <c r="F84" i="84" s="1"/>
  <c r="F85" i="84" s="1"/>
  <c r="L5" i="84"/>
  <c r="M6" i="84"/>
  <c r="K4" i="84"/>
  <c r="AO78" i="84" l="1"/>
  <c r="AN77" i="84"/>
  <c r="AM76" i="84"/>
  <c r="Z15" i="84"/>
  <c r="Y14" i="84"/>
  <c r="AA16" i="84"/>
  <c r="BC85" i="84"/>
  <c r="D84" i="84"/>
  <c r="BA84" i="84" s="1"/>
  <c r="E85" i="84"/>
  <c r="BB85" i="84" s="1"/>
  <c r="F86" i="84"/>
  <c r="D83" i="84"/>
  <c r="BA83" i="84" s="1"/>
  <c r="E84" i="84"/>
  <c r="BB84" i="84" s="1"/>
  <c r="BC84" i="84"/>
  <c r="D82" i="84"/>
  <c r="BA82" i="84" s="1"/>
  <c r="BC83" i="84"/>
  <c r="E83" i="84"/>
  <c r="BB83" i="84" s="1"/>
  <c r="K5" i="84"/>
  <c r="L6" i="84"/>
  <c r="M7" i="84"/>
  <c r="AM77" i="84" l="1"/>
  <c r="AN78" i="84"/>
  <c r="Z16" i="84"/>
  <c r="AA17" i="84"/>
  <c r="Y15" i="84"/>
  <c r="F87" i="84"/>
  <c r="D85" i="84"/>
  <c r="BA85" i="84" s="1"/>
  <c r="BC86" i="84"/>
  <c r="E86" i="84"/>
  <c r="BB86" i="84" s="1"/>
  <c r="M8" i="84"/>
  <c r="L7" i="84"/>
  <c r="K6" i="84"/>
  <c r="Z17" i="84" l="1"/>
  <c r="Y16" i="84"/>
  <c r="AA18" i="84"/>
  <c r="BC87" i="84"/>
  <c r="D86" i="84"/>
  <c r="BA86" i="84" s="1"/>
  <c r="F88" i="84"/>
  <c r="E87" i="84"/>
  <c r="BB87" i="84" s="1"/>
  <c r="L8" i="84"/>
  <c r="K7" i="84"/>
  <c r="M9" i="84"/>
  <c r="Y17" i="84" l="1"/>
  <c r="Z18" i="84"/>
  <c r="AA19" i="84"/>
  <c r="BC88" i="84"/>
  <c r="F89" i="84"/>
  <c r="D87" i="84"/>
  <c r="BA87" i="84" s="1"/>
  <c r="E88" i="84"/>
  <c r="BB88" i="84" s="1"/>
  <c r="K8" i="84"/>
  <c r="M10" i="84"/>
  <c r="L9" i="84"/>
  <c r="AA20" i="84" l="1"/>
  <c r="Z19" i="84"/>
  <c r="Y18" i="84"/>
  <c r="F90" i="84"/>
  <c r="D88" i="84"/>
  <c r="BA88" i="84" s="1"/>
  <c r="E89" i="84"/>
  <c r="BB89" i="84" s="1"/>
  <c r="BC89" i="84"/>
  <c r="M11" i="84"/>
  <c r="K9" i="84"/>
  <c r="L10" i="84"/>
  <c r="AA21" i="84" l="1"/>
  <c r="Y19" i="84"/>
  <c r="Z20" i="84"/>
  <c r="F91" i="84"/>
  <c r="E90" i="84"/>
  <c r="BB90" i="84" s="1"/>
  <c r="BC90" i="84"/>
  <c r="D89" i="84"/>
  <c r="BA89" i="84" s="1"/>
  <c r="K10" i="84"/>
  <c r="M12" i="84"/>
  <c r="L11" i="84"/>
  <c r="Y20" i="84" l="1"/>
  <c r="Z21" i="84"/>
  <c r="AA22" i="84"/>
  <c r="E91" i="84"/>
  <c r="BB91" i="84" s="1"/>
  <c r="BC91" i="84"/>
  <c r="D90" i="84"/>
  <c r="BA90" i="84" s="1"/>
  <c r="M13" i="84"/>
  <c r="K11" i="84"/>
  <c r="L12" i="84"/>
  <c r="AA23" i="84" l="1"/>
  <c r="Z22" i="84"/>
  <c r="Y21" i="84"/>
  <c r="L13" i="84"/>
  <c r="M14" i="84"/>
  <c r="K12" i="84"/>
  <c r="Z23" i="84" l="1"/>
  <c r="AA24" i="84"/>
  <c r="Y22" i="84"/>
  <c r="K13" i="84"/>
  <c r="M15" i="84"/>
  <c r="L14" i="84"/>
  <c r="AA25" i="84" l="1"/>
  <c r="Z24" i="84"/>
  <c r="Y23" i="84"/>
  <c r="M16" i="84"/>
  <c r="L15" i="84"/>
  <c r="K14" i="84"/>
  <c r="AA26" i="84" l="1"/>
  <c r="Z25" i="84"/>
  <c r="Y24" i="84"/>
  <c r="K15" i="84"/>
  <c r="M17" i="84"/>
  <c r="L16" i="84"/>
  <c r="AA27" i="84" l="1"/>
  <c r="Z26" i="84"/>
  <c r="Y25" i="84"/>
  <c r="K16" i="84"/>
  <c r="M18" i="84"/>
  <c r="L17" i="84"/>
  <c r="AA28" i="84" l="1"/>
  <c r="Y26" i="84"/>
  <c r="Z27" i="84"/>
  <c r="L18" i="84"/>
  <c r="K17" i="84"/>
  <c r="M19" i="84"/>
  <c r="Z28" i="84" l="1"/>
  <c r="Y27" i="84"/>
  <c r="AA29" i="84"/>
  <c r="K18" i="84"/>
  <c r="M20" i="84"/>
  <c r="L19" i="84"/>
  <c r="Y28" i="84" l="1"/>
  <c r="Z29" i="84"/>
  <c r="L20" i="84"/>
  <c r="K19" i="84"/>
  <c r="M21" i="84"/>
  <c r="K20" i="84" l="1"/>
  <c r="L21" i="84"/>
  <c r="M22" i="84"/>
  <c r="K21" i="84" l="1"/>
  <c r="L22" i="84"/>
  <c r="M23" i="84"/>
  <c r="K22" i="84" l="1"/>
  <c r="M24" i="84"/>
  <c r="L23" i="84"/>
  <c r="M25" i="84" l="1"/>
  <c r="K23" i="84"/>
  <c r="L24" i="84"/>
  <c r="M26" i="84" l="1"/>
  <c r="M27" i="84" s="1"/>
  <c r="M28" i="84" s="1"/>
  <c r="K24" i="84"/>
  <c r="L25" i="84"/>
  <c r="M29" i="84" l="1"/>
  <c r="M30" i="84" s="1"/>
  <c r="M31" i="84" s="1"/>
  <c r="L28" i="84"/>
  <c r="K27" i="84"/>
  <c r="K26" i="84"/>
  <c r="L27" i="84"/>
  <c r="K25" i="84"/>
  <c r="L26" i="84"/>
  <c r="M32" i="84" l="1"/>
  <c r="K30" i="84"/>
  <c r="L31" i="84"/>
  <c r="K29" i="84"/>
  <c r="L30" i="84"/>
  <c r="K28" i="84"/>
  <c r="L29" i="84"/>
  <c r="K31" i="84" l="1"/>
  <c r="M33" i="84"/>
  <c r="M34" i="84" s="1"/>
  <c r="M35" i="84" s="1"/>
  <c r="L32" i="84"/>
  <c r="L35" i="84" l="1"/>
  <c r="M36" i="84"/>
  <c r="K34" i="84"/>
  <c r="K33" i="84"/>
  <c r="L34" i="84"/>
  <c r="K32" i="84"/>
  <c r="L33" i="84"/>
  <c r="M37" i="84" l="1"/>
  <c r="K35" i="84"/>
  <c r="L36" i="84"/>
  <c r="M38" i="84" l="1"/>
  <c r="L37" i="84"/>
  <c r="K36" i="84"/>
  <c r="M39" i="84" l="1"/>
  <c r="M40" i="84" s="1"/>
  <c r="L38" i="84"/>
  <c r="K37" i="84"/>
  <c r="L40" i="84" l="1"/>
  <c r="M41" i="84"/>
  <c r="K39" i="84"/>
  <c r="L39" i="84"/>
  <c r="K38" i="84"/>
  <c r="M42" i="84" l="1"/>
  <c r="K40" i="84"/>
  <c r="L41" i="84"/>
  <c r="M43" i="84" l="1"/>
  <c r="K41" i="84"/>
  <c r="L42" i="84"/>
  <c r="M44" i="84" l="1"/>
  <c r="M45" i="84" s="1"/>
  <c r="M46" i="84" s="1"/>
  <c r="L43" i="84"/>
  <c r="K42" i="84"/>
  <c r="M47" i="84" l="1"/>
  <c r="L46" i="84"/>
  <c r="K45" i="84"/>
  <c r="K44" i="84"/>
  <c r="L45" i="84"/>
  <c r="K43" i="84"/>
  <c r="L44" i="84"/>
  <c r="M48" i="84" l="1"/>
  <c r="K46" i="84"/>
  <c r="L47" i="84"/>
  <c r="K47" i="84" l="1"/>
  <c r="L48" i="84"/>
  <c r="M49" i="84"/>
  <c r="M50" i="84" l="1"/>
  <c r="M51" i="84" s="1"/>
  <c r="M52" i="84" s="1"/>
  <c r="K48" i="84"/>
  <c r="L49" i="84"/>
  <c r="M53" i="84" l="1"/>
  <c r="K51" i="84"/>
  <c r="L52" i="84"/>
  <c r="L51" i="84"/>
  <c r="K50" i="84"/>
  <c r="K49" i="84"/>
  <c r="L50" i="84"/>
  <c r="L53" i="84" l="1"/>
  <c r="M54" i="84"/>
  <c r="K52" i="84"/>
  <c r="L54" i="84" l="1"/>
  <c r="K53" i="84"/>
  <c r="M55" i="84"/>
  <c r="M56" i="84" l="1"/>
  <c r="L55" i="84"/>
  <c r="K54" i="84"/>
  <c r="M57" i="84" l="1"/>
  <c r="L56" i="84"/>
  <c r="K55" i="84"/>
  <c r="M58" i="84" l="1"/>
  <c r="M59" i="84" s="1"/>
  <c r="M60" i="84" s="1"/>
  <c r="L57" i="84"/>
  <c r="K56" i="84"/>
  <c r="M61" i="84" l="1"/>
  <c r="M62" i="84" s="1"/>
  <c r="L60" i="84"/>
  <c r="K59" i="84"/>
  <c r="L59" i="84"/>
  <c r="K58" i="84"/>
  <c r="K57" i="84"/>
  <c r="L58" i="84"/>
  <c r="M63" i="84" l="1"/>
  <c r="K61" i="84"/>
  <c r="L62" i="84"/>
  <c r="K60" i="84"/>
  <c r="L61" i="84"/>
  <c r="L63" i="84" l="1"/>
  <c r="M64" i="84"/>
  <c r="M65" i="84" s="1"/>
  <c r="K62" i="84"/>
  <c r="L65" i="84" l="1"/>
  <c r="K64" i="84"/>
  <c r="M66" i="84"/>
  <c r="L64" i="84"/>
  <c r="K63" i="84"/>
  <c r="K65" i="84" l="1"/>
  <c r="L66" i="84"/>
  <c r="M67" i="84"/>
  <c r="M68" i="84" l="1"/>
  <c r="M69" i="84" s="1"/>
  <c r="M70" i="84" s="1"/>
  <c r="M71" i="84" s="1"/>
  <c r="M72" i="84" s="1"/>
  <c r="M73" i="84" s="1"/>
  <c r="L67" i="84"/>
  <c r="K66" i="84"/>
  <c r="M74" i="84" l="1"/>
  <c r="K72" i="84"/>
  <c r="L73" i="84"/>
  <c r="L72" i="84"/>
  <c r="K71" i="84"/>
  <c r="L71" i="84"/>
  <c r="K70" i="84"/>
  <c r="L70" i="84"/>
  <c r="K69" i="84"/>
  <c r="L69" i="84"/>
  <c r="K68" i="84"/>
  <c r="L68" i="84"/>
  <c r="K67" i="84"/>
  <c r="K73" i="84" l="1"/>
  <c r="M75" i="84"/>
  <c r="M76" i="84" s="1"/>
  <c r="L74" i="84"/>
  <c r="K75" i="84" l="1"/>
  <c r="L76" i="84"/>
  <c r="M77" i="84"/>
  <c r="M78" i="84" s="1"/>
  <c r="L75" i="84"/>
  <c r="K74" i="84"/>
  <c r="K77" i="84" l="1"/>
  <c r="L78" i="84"/>
  <c r="M79" i="84"/>
  <c r="L77" i="84"/>
  <c r="K76" i="84"/>
  <c r="M80" i="84" l="1"/>
  <c r="K78" i="84"/>
  <c r="L79" i="84"/>
  <c r="M81" i="84" l="1"/>
  <c r="M82" i="84" s="1"/>
  <c r="M83" i="84" s="1"/>
  <c r="K79" i="84"/>
  <c r="L80" i="84"/>
  <c r="M84" i="84" l="1"/>
  <c r="M85" i="84" s="1"/>
  <c r="L83" i="84"/>
  <c r="K82" i="84"/>
  <c r="K81" i="84"/>
  <c r="L82" i="84"/>
  <c r="K80" i="84"/>
  <c r="L81" i="84"/>
  <c r="K84" i="84" l="1"/>
  <c r="L85" i="84"/>
  <c r="M86" i="84"/>
  <c r="L84" i="84"/>
  <c r="K83" i="84"/>
  <c r="M87" i="84" l="1"/>
  <c r="L86" i="84"/>
  <c r="K85" i="84"/>
  <c r="L87" i="84" l="1"/>
  <c r="K86" i="84"/>
  <c r="M88" i="84"/>
  <c r="M89" i="84" s="1"/>
  <c r="M90" i="84" l="1"/>
  <c r="K88" i="84"/>
  <c r="L89" i="84"/>
  <c r="K87" i="84"/>
  <c r="L88" i="84"/>
  <c r="L90" i="84" l="1"/>
  <c r="M91" i="84"/>
  <c r="K89" i="84"/>
  <c r="M92" i="84" l="1"/>
  <c r="K90" i="84"/>
  <c r="L91" i="84"/>
  <c r="M93" i="84" l="1"/>
  <c r="M94" i="84" s="1"/>
  <c r="K91" i="84"/>
  <c r="L92" i="84"/>
  <c r="M95" i="84" l="1"/>
  <c r="L94" i="84"/>
  <c r="K93" i="84"/>
  <c r="L93" i="84"/>
  <c r="K92" i="84"/>
  <c r="M96" i="84" l="1"/>
  <c r="K94" i="84"/>
  <c r="L95" i="84"/>
  <c r="M97" i="84" l="1"/>
  <c r="K95" i="84"/>
  <c r="L96" i="84"/>
  <c r="T2" i="84" l="1"/>
  <c r="K96" i="84"/>
  <c r="L97" i="84"/>
  <c r="T3" i="84" l="1"/>
  <c r="K97" i="84"/>
  <c r="S2" i="84"/>
  <c r="R2" i="84" l="1"/>
  <c r="T4" i="84"/>
  <c r="S3" i="84"/>
  <c r="S4" i="84" l="1"/>
  <c r="R3" i="84"/>
  <c r="T5" i="84"/>
  <c r="T6" i="84" l="1"/>
  <c r="R4" i="84"/>
  <c r="S5" i="84"/>
  <c r="T7" i="84" l="1"/>
  <c r="S6" i="84"/>
  <c r="R5" i="84"/>
  <c r="S7" i="84" l="1"/>
  <c r="T8" i="84"/>
  <c r="R6" i="84"/>
  <c r="T9" i="84" l="1"/>
  <c r="S8" i="84"/>
  <c r="R7" i="84"/>
  <c r="T10" i="84" l="1"/>
  <c r="R8" i="84"/>
  <c r="S9" i="84"/>
  <c r="T11" i="84" l="1"/>
  <c r="R9" i="84"/>
  <c r="S10" i="84"/>
  <c r="T12" i="84" l="1"/>
  <c r="S11" i="84"/>
  <c r="R10" i="84"/>
  <c r="S12" i="84" l="1"/>
  <c r="T13" i="84"/>
  <c r="R11" i="84"/>
  <c r="S13" i="84" l="1"/>
  <c r="R12" i="84"/>
  <c r="T14" i="84"/>
  <c r="S14" i="84" l="1"/>
  <c r="T15" i="84"/>
  <c r="R13" i="84"/>
  <c r="S15" i="84" l="1"/>
  <c r="R14" i="84"/>
  <c r="T16" i="84"/>
  <c r="R15" i="84" l="1"/>
  <c r="T17" i="84"/>
  <c r="S16" i="84"/>
  <c r="R16" i="84" l="1"/>
  <c r="T18" i="84"/>
  <c r="S17" i="84"/>
  <c r="R17" i="84" l="1"/>
  <c r="S18" i="84"/>
  <c r="T19" i="84"/>
  <c r="S19" i="84" l="1"/>
  <c r="R18" i="84"/>
  <c r="T20" i="84"/>
  <c r="S20" i="84" l="1"/>
  <c r="R19" i="84"/>
  <c r="T21" i="84"/>
  <c r="R20" i="84" l="1"/>
  <c r="S21" i="84"/>
  <c r="T22" i="84"/>
  <c r="T23" i="84" l="1"/>
  <c r="S22" i="84"/>
  <c r="R21" i="84"/>
  <c r="S23" i="84" l="1"/>
  <c r="R22" i="84"/>
  <c r="T24" i="84"/>
  <c r="S24" i="84" l="1"/>
  <c r="R23" i="84"/>
  <c r="T25" i="84"/>
  <c r="T26" i="84" l="1"/>
  <c r="S25" i="84"/>
  <c r="R24" i="84"/>
  <c r="T27" i="84" l="1"/>
  <c r="R25" i="84"/>
  <c r="S26" i="84"/>
  <c r="T28" i="84" l="1"/>
  <c r="S27" i="84"/>
  <c r="R26" i="84"/>
  <c r="T29" i="84" l="1"/>
  <c r="S28" i="84"/>
  <c r="R27" i="84"/>
  <c r="T30" i="84" l="1"/>
  <c r="R28" i="84"/>
  <c r="S29" i="84"/>
  <c r="T31" i="84" l="1"/>
  <c r="R29" i="84"/>
  <c r="S30" i="84"/>
  <c r="T32" i="84" l="1"/>
  <c r="R30" i="84"/>
  <c r="S31" i="84"/>
  <c r="T33" i="84" l="1"/>
  <c r="S32" i="84"/>
  <c r="R31" i="84"/>
  <c r="T34" i="84" l="1"/>
  <c r="S33" i="84"/>
  <c r="R32" i="84"/>
  <c r="T35" i="84" l="1"/>
  <c r="R33" i="84"/>
  <c r="S34" i="84"/>
  <c r="T36" i="84" l="1"/>
  <c r="R34" i="84"/>
  <c r="S35" i="84"/>
  <c r="T37" i="84" l="1"/>
  <c r="R35" i="84"/>
  <c r="S36" i="84"/>
  <c r="T38" i="84" l="1"/>
  <c r="R36" i="84"/>
  <c r="S37" i="84"/>
  <c r="S38" i="84" l="1"/>
  <c r="R37" i="84"/>
  <c r="T39" i="84"/>
  <c r="R38" i="84" l="1"/>
  <c r="T40" i="84"/>
  <c r="S39" i="84"/>
  <c r="S40" i="84" l="1"/>
  <c r="T41" i="84"/>
  <c r="R39" i="84"/>
  <c r="T42" i="84" l="1"/>
  <c r="R40" i="84"/>
  <c r="S41" i="84"/>
  <c r="T43" i="84" l="1"/>
  <c r="S42" i="84"/>
  <c r="R41" i="84"/>
  <c r="S43" i="84" l="1"/>
  <c r="R42" i="84"/>
  <c r="T44" i="84"/>
  <c r="T45" i="84" l="1"/>
  <c r="S44" i="84"/>
  <c r="R43" i="84"/>
  <c r="T46" i="84" l="1"/>
  <c r="R44" i="84"/>
  <c r="S45" i="84"/>
  <c r="T47" i="84" l="1"/>
  <c r="R45" i="84"/>
  <c r="S46" i="84"/>
  <c r="T48" i="84" l="1"/>
  <c r="R46" i="84"/>
  <c r="S47" i="84"/>
  <c r="T49" i="84" l="1"/>
  <c r="S48" i="84"/>
  <c r="R47" i="84"/>
  <c r="R48" i="84" l="1"/>
  <c r="S49" i="84"/>
  <c r="T50" i="84"/>
  <c r="T51" i="84" l="1"/>
  <c r="R49" i="84"/>
  <c r="S50" i="84"/>
  <c r="S51" i="84" l="1"/>
  <c r="R50" i="84"/>
  <c r="T52" i="84"/>
  <c r="T53" i="84" l="1"/>
  <c r="R51" i="84"/>
  <c r="S52" i="84"/>
  <c r="T54" i="84" l="1"/>
  <c r="S53" i="84"/>
  <c r="R52" i="84"/>
  <c r="S54" i="84" l="1"/>
  <c r="R53" i="84"/>
  <c r="T55" i="84"/>
  <c r="R54" i="84" l="1"/>
  <c r="S55" i="84"/>
  <c r="T56" i="84"/>
  <c r="T57" i="84" l="1"/>
  <c r="S56" i="84"/>
  <c r="R55" i="84"/>
  <c r="T58" i="84" l="1"/>
  <c r="R56" i="84"/>
  <c r="S57" i="84"/>
  <c r="T59" i="84" l="1"/>
  <c r="R57" i="84"/>
  <c r="S58" i="84"/>
  <c r="S59" i="84" l="1"/>
  <c r="R58" i="84"/>
  <c r="T60" i="84"/>
  <c r="T61" i="84" l="1"/>
  <c r="R59" i="84"/>
  <c r="S60" i="84"/>
  <c r="T62" i="84" l="1"/>
  <c r="R60" i="84"/>
  <c r="S61" i="84"/>
  <c r="T63" i="84" l="1"/>
  <c r="S62" i="84"/>
  <c r="R61" i="84"/>
  <c r="S63" i="84" l="1"/>
  <c r="R62" i="84"/>
  <c r="T64" i="84"/>
  <c r="T65" i="84" l="1"/>
  <c r="S64" i="84"/>
  <c r="R63" i="84"/>
  <c r="R64" i="84" l="1"/>
  <c r="T66" i="84"/>
  <c r="S65" i="84"/>
  <c r="T67" i="84" l="1"/>
  <c r="R65" i="84"/>
  <c r="S66" i="84"/>
  <c r="S67" i="84" l="1"/>
  <c r="R66" i="84"/>
  <c r="T68" i="84"/>
  <c r="R67" i="84" l="1"/>
  <c r="S68" i="84"/>
  <c r="T69" i="84"/>
  <c r="T70" i="84" l="1"/>
  <c r="R68" i="84"/>
  <c r="S69" i="84"/>
  <c r="T71" i="84" l="1"/>
  <c r="R69" i="84"/>
  <c r="S70" i="84"/>
  <c r="T72" i="84" l="1"/>
  <c r="S71" i="84"/>
  <c r="R70" i="84"/>
  <c r="T73" i="84" l="1"/>
  <c r="S72" i="84"/>
  <c r="R71" i="84"/>
  <c r="S73" i="84" l="1"/>
  <c r="R72" i="84"/>
  <c r="T74" i="84"/>
  <c r="T75" i="84" l="1"/>
  <c r="S74" i="84"/>
  <c r="R73" i="84"/>
  <c r="T76" i="84" l="1"/>
  <c r="R74" i="84"/>
  <c r="S75" i="84"/>
  <c r="R75" i="84" l="1"/>
  <c r="T77" i="84"/>
  <c r="S76" i="84"/>
  <c r="R76" i="84" l="1"/>
  <c r="S77" i="84"/>
  <c r="T78" i="84"/>
  <c r="R77" i="84" l="1"/>
  <c r="S78" i="84"/>
  <c r="T79" i="84"/>
  <c r="S79" i="84" l="1"/>
  <c r="T80" i="84"/>
  <c r="R78" i="84"/>
  <c r="S80" i="84" l="1"/>
  <c r="T81" i="84"/>
  <c r="R79" i="84"/>
  <c r="T82" i="84" l="1"/>
  <c r="S81" i="84"/>
  <c r="R80" i="84"/>
  <c r="T83" i="84" l="1"/>
  <c r="T84" i="84" s="1"/>
  <c r="S82" i="84"/>
  <c r="R81" i="84"/>
  <c r="T85" i="84" l="1"/>
  <c r="R83" i="84"/>
  <c r="S84" i="84"/>
  <c r="R82" i="84"/>
  <c r="S83" i="84"/>
  <c r="R84" i="84" l="1"/>
  <c r="S85" i="84"/>
  <c r="T86" i="84"/>
  <c r="S86" i="84" l="1"/>
  <c r="T87" i="84"/>
  <c r="R85" i="84"/>
  <c r="T88" i="84" l="1"/>
  <c r="S87" i="84"/>
  <c r="R86" i="84"/>
  <c r="T89" i="84" l="1"/>
  <c r="R87" i="84"/>
  <c r="S88" i="84"/>
  <c r="T112" i="84"/>
  <c r="T113" i="84" s="1"/>
  <c r="T101" i="84"/>
  <c r="T102" i="84" s="1"/>
  <c r="T105" i="84"/>
  <c r="T108" i="84" s="1"/>
  <c r="T106" i="84"/>
  <c r="T109" i="84" s="1"/>
  <c r="T103" i="84"/>
  <c r="T104" i="84" s="1"/>
  <c r="R88" i="84" l="1"/>
  <c r="S89" i="84"/>
</calcChain>
</file>

<file path=xl/sharedStrings.xml><?xml version="1.0" encoding="utf-8"?>
<sst xmlns="http://schemas.openxmlformats.org/spreadsheetml/2006/main" count="112" uniqueCount="110">
  <si>
    <t>Column1</t>
  </si>
  <si>
    <t>Column2</t>
  </si>
  <si>
    <t>Column3</t>
  </si>
  <si>
    <t>Column4</t>
  </si>
  <si>
    <t>Column43</t>
  </si>
  <si>
    <t>Column42</t>
  </si>
  <si>
    <t>Column5</t>
  </si>
  <si>
    <t>Column6</t>
  </si>
  <si>
    <t>Column7</t>
  </si>
  <si>
    <t>Column8</t>
  </si>
  <si>
    <t>Column9</t>
  </si>
  <si>
    <t>Column10</t>
  </si>
  <si>
    <t>%</t>
  </si>
  <si>
    <t>Week</t>
  </si>
  <si>
    <t>P</t>
  </si>
  <si>
    <t xml:space="preserve">Fixed PC </t>
  </si>
  <si>
    <t>Breakfast</t>
  </si>
  <si>
    <t>Lunch</t>
  </si>
  <si>
    <t xml:space="preserve">Dining time </t>
  </si>
  <si>
    <t xml:space="preserve">Fixed pc </t>
  </si>
  <si>
    <t>Fixed PC without sleep</t>
  </si>
  <si>
    <t>Name</t>
  </si>
  <si>
    <t>#</t>
  </si>
  <si>
    <t>Tue</t>
  </si>
  <si>
    <t>Wed</t>
  </si>
  <si>
    <t>Thu</t>
  </si>
  <si>
    <t>Fri</t>
  </si>
  <si>
    <t>Sat</t>
  </si>
  <si>
    <t>Sun</t>
  </si>
  <si>
    <t>Null</t>
  </si>
  <si>
    <t>numbers for each activity</t>
  </si>
  <si>
    <t>msecon</t>
  </si>
  <si>
    <t>Class</t>
  </si>
  <si>
    <t>pcexceptsleep</t>
  </si>
  <si>
    <t>Study</t>
  </si>
  <si>
    <t>allfreetime</t>
  </si>
  <si>
    <t>endofdayfree</t>
  </si>
  <si>
    <t>sleep</t>
  </si>
  <si>
    <t>longfree</t>
  </si>
  <si>
    <t>PC</t>
  </si>
  <si>
    <t>Sleep</t>
  </si>
  <si>
    <t>FREE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</si>
  <si>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</si>
  <si>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</si>
  <si>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</si>
  <si>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</si>
  <si>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</si>
  <si>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</si>
  <si>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</si>
  <si>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</si>
  <si>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</si>
  <si>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</si>
  <si>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</si>
  <si>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</si>
  <si>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</si>
  <si>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</si>
  <si>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</si>
  <si>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</si>
  <si>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</si>
  <si>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</si>
  <si>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</si>
  <si>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</si>
  <si>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</si>
  <si>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</si>
  <si>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</si>
  <si>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</si>
  <si>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</si>
  <si>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</si>
  <si>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</si>
  <si>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</si>
  <si>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</si>
  <si>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</si>
  <si>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</si>
  <si>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</si>
  <si>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</si>
  <si>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</si>
  <si>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</si>
  <si>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</si>
  <si>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</si>
  <si>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</si>
  <si>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</si>
  <si>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Ms Econ and class day</t>
  </si>
  <si>
    <t>Week Msecon</t>
  </si>
  <si>
    <t>PC day without sleep</t>
  </si>
  <si>
    <t>Week PC</t>
  </si>
  <si>
    <t>All Free time day</t>
  </si>
  <si>
    <t>Free end of day</t>
  </si>
  <si>
    <t>Free time - End of day free</t>
  </si>
  <si>
    <t>Week all Free time</t>
  </si>
  <si>
    <t>Free time end of day as week</t>
  </si>
  <si>
    <t>Long Free time</t>
  </si>
  <si>
    <t>Week Long free time</t>
  </si>
  <si>
    <t>Sleep day</t>
  </si>
  <si>
    <t>Sleep week</t>
  </si>
  <si>
    <t>% Aw.</t>
  </si>
  <si>
    <t>Time</t>
  </si>
  <si>
    <t># a W.</t>
  </si>
  <si>
    <t>% W.</t>
  </si>
  <si>
    <t>%Aw. W.</t>
  </si>
  <si>
    <t>Whole W.</t>
  </si>
  <si>
    <t xml:space="preserve">Awake in W. </t>
  </si>
  <si>
    <t>Dinner</t>
  </si>
  <si>
    <t>English</t>
  </si>
  <si>
    <t>Free</t>
  </si>
  <si>
    <t>On the go</t>
  </si>
  <si>
    <t>WO</t>
  </si>
  <si>
    <t>Bath</t>
  </si>
  <si>
    <t>Running</t>
  </si>
  <si>
    <t>Prepare to sleep</t>
  </si>
  <si>
    <t>Prepare to sleep in 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</si>
</sst>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2"/>
      <color theme="1"/>
      <name val="LMRoman10-Regular"/>
    </font>
    <font>
      <sz val="11"/>
      <color theme="1"/>
      <name val="LMRoman10-Regular"/>
    </font>
    <font>
      <sz val="14"/>
      <color theme="0"/>
      <name val="LMRoman10-Regular"/>
    </font>
    <font>
      <sz val="12"/>
      <color theme="0"/>
      <name val="LMRoman10-Regular"/>
    </font>
    <font>
      <sz val="18"/>
      <color theme="0"/>
      <name val="Apple Symbols"/>
    </font>
    <font>
      <sz val="11"/>
      <color theme="1"/>
      <name val="Apple Symbols"/>
    </font>
    <font>
      <b/>
      <sz val="16"/>
      <color theme="0"/>
      <name val="Apple Symbols"/>
    </font>
    <font>
      <b/>
      <sz val="16"/>
      <name val="Apple Symbols"/>
    </font>
    <font>
      <b/>
      <sz val="12"/>
      <color theme="0"/>
      <name val="Apple Symbols"/>
    </font>
    <font>
      <sz val="14"/>
      <color theme="1"/>
      <name val="Apple Symbols"/>
    </font>
    <font>
      <sz val="18"/>
      <color theme="1"/>
      <name val="Apple Symbols"/>
    </font>
    <font>
      <sz val="16"/>
      <color theme="1"/>
      <name val="Apple Symbols"/>
    </font>
    <font>
      <b/>
      <sz val="18"/>
      <color theme="1"/>
      <name val="Apple Symbols"/>
    </font>
    <font>
      <sz val="16"/>
      <color theme="0"/>
      <name val="Apple Symbols"/>
    </font>
    <font>
      <b/>
      <sz val="22"/>
      <color theme="1"/>
      <name val="Apple Symbols"/>
    </font>
    <font>
      <b/>
      <sz val="16"/>
      <color theme="1"/>
      <name val="Apple Symbols"/>
    </font>
    <font>
      <sz val="12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theme="5" tint="0.79995117038483843"/>
      </patternFill>
    </fill>
    <fill>
      <patternFill patternType="solid">
        <fgColor theme="9" tint="0.79995117038483843"/>
        <bgColor theme="9" tint="0.79995117038483843"/>
      </patternFill>
    </fill>
    <fill>
      <patternFill patternType="solid">
        <fgColor theme="8"/>
        <bgColor theme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21">
    <border>
      <left/>
      <right/>
      <top/>
      <bottom/>
      <diagonal/>
    </border>
    <border>
      <left style="thin">
        <color theme="5" tint="0.39994506668294322"/>
      </left>
      <right/>
      <top style="thin">
        <color theme="5" tint="0.39994506668294322"/>
      </top>
      <bottom/>
      <diagonal/>
    </border>
    <border>
      <left/>
      <right/>
      <top style="thin">
        <color theme="9" tint="0.39994506668294322"/>
      </top>
      <bottom/>
      <diagonal/>
    </border>
    <border>
      <left/>
      <right/>
      <top style="thin">
        <color theme="5" tint="0.39994506668294322"/>
      </top>
      <bottom/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5"/>
      </right>
      <top/>
      <bottom/>
      <diagonal/>
    </border>
    <border>
      <left style="thin">
        <color theme="9" tint="0.39994506668294322"/>
      </left>
      <right style="thin">
        <color theme="5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5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 style="thin">
        <color theme="9" tint="0.39994506668294322"/>
      </top>
      <bottom/>
      <diagonal/>
    </border>
    <border>
      <left style="thin">
        <color theme="5"/>
      </left>
      <right/>
      <top style="thin">
        <color theme="9" tint="0.39994506668294322"/>
      </top>
      <bottom style="thin">
        <color theme="9" tint="0.3999450666829432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0" xfId="0" applyFont="1"/>
    <xf numFmtId="20" fontId="3" fillId="0" borderId="0" xfId="0" applyNumberFormat="1" applyFont="1" applyAlignment="1">
      <alignment vertical="center"/>
    </xf>
    <xf numFmtId="9" fontId="3" fillId="0" borderId="0" xfId="1" applyNumberFormat="1" applyFont="1" applyBorder="1" applyAlignment="1">
      <alignment vertical="center"/>
    </xf>
    <xf numFmtId="0" fontId="3" fillId="0" borderId="0" xfId="1" applyNumberFormat="1" applyFont="1" applyBorder="1" applyAlignment="1">
      <alignment vertical="center"/>
    </xf>
    <xf numFmtId="0" fontId="2" fillId="7" borderId="11" xfId="0" applyFont="1" applyFill="1" applyBorder="1" applyAlignment="1">
      <alignment horizontal="left" vertical="center"/>
    </xf>
    <xf numFmtId="0" fontId="2" fillId="7" borderId="12" xfId="0" applyFont="1" applyFill="1" applyBorder="1" applyAlignment="1">
      <alignment horizontal="left" vertical="center"/>
    </xf>
    <xf numFmtId="0" fontId="2" fillId="11" borderId="13" xfId="0" applyFont="1" applyFill="1" applyBorder="1" applyAlignment="1">
      <alignment horizontal="left" vertical="center"/>
    </xf>
    <xf numFmtId="0" fontId="2" fillId="11" borderId="14" xfId="0" applyFont="1" applyFill="1" applyBorder="1" applyAlignment="1">
      <alignment horizontal="left" vertical="center"/>
    </xf>
    <xf numFmtId="0" fontId="2" fillId="11" borderId="14" xfId="0" applyFont="1" applyFill="1" applyBorder="1" applyAlignment="1">
      <alignment horizontal="center" vertical="center"/>
    </xf>
    <xf numFmtId="9" fontId="2" fillId="11" borderId="14" xfId="1" applyNumberFormat="1" applyFont="1" applyFill="1" applyBorder="1" applyAlignment="1">
      <alignment horizontal="center" vertical="center"/>
    </xf>
    <xf numFmtId="9" fontId="2" fillId="10" borderId="14" xfId="1" applyNumberFormat="1" applyFont="1" applyFill="1" applyBorder="1" applyAlignment="1">
      <alignment horizontal="center" vertical="center"/>
    </xf>
    <xf numFmtId="0" fontId="2" fillId="11" borderId="14" xfId="1" applyNumberFormat="1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14" xfId="0" applyFont="1" applyFill="1" applyBorder="1" applyAlignment="1">
      <alignment horizontal="left" vertical="center"/>
    </xf>
    <xf numFmtId="0" fontId="2" fillId="12" borderId="14" xfId="0" applyFont="1" applyFill="1" applyBorder="1" applyAlignment="1">
      <alignment horizontal="center" vertical="center"/>
    </xf>
    <xf numFmtId="9" fontId="2" fillId="12" borderId="14" xfId="1" applyNumberFormat="1" applyFont="1" applyFill="1" applyBorder="1" applyAlignment="1">
      <alignment horizontal="center" vertical="center"/>
    </xf>
    <xf numFmtId="0" fontId="2" fillId="12" borderId="14" xfId="1" applyNumberFormat="1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left" vertical="center"/>
    </xf>
    <xf numFmtId="0" fontId="2" fillId="7" borderId="13" xfId="0" applyFont="1" applyFill="1" applyBorder="1" applyAlignment="1">
      <alignment horizontal="left" vertical="center"/>
    </xf>
    <xf numFmtId="0" fontId="4" fillId="8" borderId="14" xfId="1" applyNumberFormat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left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14" xfId="0" applyFont="1" applyFill="1" applyBorder="1" applyAlignment="1">
      <alignment horizontal="center" vertical="center"/>
    </xf>
    <xf numFmtId="0" fontId="2" fillId="10" borderId="14" xfId="1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/>
    <xf numFmtId="0" fontId="8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left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left" vertical="center"/>
    </xf>
    <xf numFmtId="0" fontId="15" fillId="3" borderId="7" xfId="0" applyFont="1" applyFill="1" applyBorder="1" applyAlignment="1">
      <alignment horizontal="left" vertical="center"/>
    </xf>
    <xf numFmtId="164" fontId="12" fillId="0" borderId="4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164" fontId="12" fillId="5" borderId="4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3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/>
    </xf>
    <xf numFmtId="164" fontId="12" fillId="0" borderId="8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9" xfId="0" applyFont="1" applyBorder="1" applyAlignment="1">
      <alignment horizontal="left" vertical="center"/>
    </xf>
    <xf numFmtId="0" fontId="15" fillId="3" borderId="9" xfId="0" applyFont="1" applyFill="1" applyBorder="1" applyAlignment="1">
      <alignment horizontal="left" vertical="center"/>
    </xf>
    <xf numFmtId="0" fontId="15" fillId="3" borderId="10" xfId="0" applyFont="1" applyFill="1" applyBorder="1" applyAlignment="1">
      <alignment horizontal="left" vertical="center"/>
    </xf>
    <xf numFmtId="164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/>
    <xf numFmtId="0" fontId="11" fillId="0" borderId="0" xfId="0" applyFont="1"/>
    <xf numFmtId="164" fontId="16" fillId="0" borderId="0" xfId="0" applyNumberFormat="1" applyFont="1" applyAlignment="1">
      <alignment vertical="center"/>
    </xf>
    <xf numFmtId="0" fontId="17" fillId="0" borderId="0" xfId="0" applyFont="1" applyBorder="1"/>
    <xf numFmtId="0" fontId="17" fillId="0" borderId="0" xfId="0" applyFont="1" applyBorder="1" applyAlignment="1">
      <alignment horizontal="center" vertical="center"/>
    </xf>
    <xf numFmtId="0" fontId="7" fillId="0" borderId="15" xfId="0" applyFont="1" applyBorder="1"/>
    <xf numFmtId="165" fontId="12" fillId="5" borderId="16" xfId="0" applyNumberFormat="1" applyFont="1" applyFill="1" applyBorder="1" applyAlignment="1">
      <alignment horizontal="center" vertical="center"/>
    </xf>
    <xf numFmtId="164" fontId="12" fillId="0" borderId="16" xfId="0" applyNumberFormat="1" applyFont="1" applyBorder="1" applyAlignment="1">
      <alignment horizontal="center" vertical="center"/>
    </xf>
    <xf numFmtId="164" fontId="12" fillId="5" borderId="17" xfId="0" applyNumberFormat="1" applyFont="1" applyFill="1" applyBorder="1" applyAlignment="1">
      <alignment horizontal="center" vertical="center"/>
    </xf>
    <xf numFmtId="0" fontId="7" fillId="0" borderId="18" xfId="0" applyFont="1" applyBorder="1"/>
    <xf numFmtId="0" fontId="13" fillId="5" borderId="19" xfId="0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7" fillId="0" borderId="18" xfId="0" applyFont="1" applyBorder="1"/>
    <xf numFmtId="0" fontId="13" fillId="5" borderId="18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3"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numFmt numFmtId="166" formatCode="0.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border diagonalUp="0" diagonalDown="0">
        <left style="thin">
          <color theme="5"/>
        </left>
        <right/>
        <vertical/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border diagonalUp="0" diagonalDown="0">
        <left style="thin">
          <color theme="5"/>
        </left>
        <right/>
        <vertical/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border diagonalUp="0" diagonalDown="0">
        <left style="thin">
          <color theme="5"/>
        </left>
        <right/>
        <vertical/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border diagonalUp="0" diagonalDown="0">
        <left style="thin">
          <color theme="5"/>
        </left>
        <right/>
        <vertical/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border diagonalUp="0" diagonalDown="0">
        <left style="thin">
          <color theme="5"/>
        </left>
        <right/>
        <vertical/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</dxf>
    <dxf>
      <font>
        <b/>
        <strike val="0"/>
        <outline val="0"/>
        <shadow val="0"/>
        <u val="none"/>
        <vertAlign val="baseline"/>
        <sz val="16"/>
        <name val="Apple Symbols"/>
        <scheme val="none"/>
      </font>
      <border diagonalUp="0" diagonalDown="0">
        <left style="thin">
          <color theme="5"/>
        </left>
        <right/>
        <vertical/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name val="Apple Symbols"/>
        <scheme val="none"/>
      </font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  <dxf>
      <font>
        <strike val="0"/>
        <outline val="0"/>
        <shadow val="0"/>
        <u val="none"/>
        <vertAlign val="baseline"/>
        <name val="Apple Symbols"/>
        <scheme val="none"/>
      </font>
    </dxf>
  </dxfs>
  <tableStyles count="0" defaultTableStyle="TableStyleMedium2" defaultPivotStyle="PivotStyleLight16"/>
  <colors>
    <mruColors>
      <color rgb="FFDDEBF7"/>
      <color rgb="FFFBFF99"/>
      <color rgb="FFFFFD78"/>
      <color rgb="FFFF8D8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228600</xdr:colOff>
          <xdr:row>1</xdr:row>
          <xdr:rowOff>76200</xdr:rowOff>
        </xdr:from>
        <xdr:to>
          <xdr:col>52</xdr:col>
          <xdr:colOff>1244600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Monday To All Days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656565656565" displayName="Table4656565656565" ref="A99:AY113" totalsRowShown="0" headerRowDxfId="52" dataDxfId="51">
  <autoFilter ref="A99:AY113" xr:uid="{00000000-0009-0000-0100-000004000000}"/>
  <tableColumns count="51">
    <tableColumn id="1" xr3:uid="{00000000-0010-0000-0100-000001000000}" name="Column1" dataDxfId="50"/>
    <tableColumn id="2" xr3:uid="{00000000-0010-0000-0100-000002000000}" name="Column2" dataDxfId="49"/>
    <tableColumn id="3" xr3:uid="{00000000-0010-0000-0100-000003000000}" name="Column3" dataDxfId="48"/>
    <tableColumn id="4" xr3:uid="{00000000-0010-0000-0100-000004000000}" name="Column4" dataDxfId="47"/>
    <tableColumn id="5" xr3:uid="{00000000-0010-0000-0100-000005000000}" name="Column5" dataDxfId="46"/>
    <tableColumn id="6" xr3:uid="{00000000-0010-0000-0100-000006000000}" name="Column6" dataDxfId="45"/>
    <tableColumn id="7" xr3:uid="{00000000-0010-0000-0100-000007000000}" name="Column7" dataDxfId="44">
      <calculatedColumnFormula>G99</calculatedColumnFormula>
    </tableColumn>
    <tableColumn id="8" xr3:uid="{00000000-0010-0000-0100-000008000000}" name="Column8" dataDxfId="43"/>
    <tableColumn id="9" xr3:uid="{00000000-0010-0000-0100-000009000000}" name="Column9" dataDxfId="42"/>
    <tableColumn id="10" xr3:uid="{00000000-0010-0000-0100-00000A000000}" name="Column10" dataDxfId="41"/>
    <tableColumn id="11" xr3:uid="{00000000-0010-0000-0100-00000B000000}" name="Column11" dataDxfId="40"/>
    <tableColumn id="12" xr3:uid="{00000000-0010-0000-0100-00000C000000}" name="Column12" dataDxfId="39"/>
    <tableColumn id="13" xr3:uid="{00000000-0010-0000-0100-00000D000000}" name="Column13" dataDxfId="38"/>
    <tableColumn id="14" xr3:uid="{00000000-0010-0000-0100-00000E000000}" name="Column14" dataDxfId="37">
      <calculatedColumnFormula>N99+G100</calculatedColumnFormula>
    </tableColumn>
    <tableColumn id="15" xr3:uid="{00000000-0010-0000-0100-00000F000000}" name="Column15" dataDxfId="36"/>
    <tableColumn id="16" xr3:uid="{00000000-0010-0000-0100-000010000000}" name="Column16" dataDxfId="35"/>
    <tableColumn id="17" xr3:uid="{00000000-0010-0000-0100-000011000000}" name="Column17" dataDxfId="34"/>
    <tableColumn id="18" xr3:uid="{00000000-0010-0000-0100-000012000000}" name="Column18" dataDxfId="33"/>
    <tableColumn id="19" xr3:uid="{00000000-0010-0000-0100-000013000000}" name="Column19" dataDxfId="32"/>
    <tableColumn id="20" xr3:uid="{00000000-0010-0000-0100-000014000000}" name="Column20" dataDxfId="31">
      <calculatedColumnFormula>T99+N100</calculatedColumnFormula>
    </tableColumn>
    <tableColumn id="21" xr3:uid="{00000000-0010-0000-0100-000015000000}" name="Column21" dataDxfId="30">
      <calculatedColumnFormula>U99+N100</calculatedColumnFormula>
    </tableColumn>
    <tableColumn id="22" xr3:uid="{00000000-0010-0000-0100-000016000000}" name="Column22" dataDxfId="29"/>
    <tableColumn id="23" xr3:uid="{00000000-0010-0000-0100-000017000000}" name="Column23" dataDxfId="28"/>
    <tableColumn id="24" xr3:uid="{00000000-0010-0000-0100-000018000000}" name="Column24" dataDxfId="27"/>
    <tableColumn id="25" xr3:uid="{00000000-0010-0000-0100-000019000000}" name="Column25" dataDxfId="26"/>
    <tableColumn id="26" xr3:uid="{00000000-0010-0000-0100-00001A000000}" name="Column26" dataDxfId="25"/>
    <tableColumn id="27" xr3:uid="{00000000-0010-0000-0100-00001B000000}" name="Column27" dataDxfId="24"/>
    <tableColumn id="28" xr3:uid="{00000000-0010-0000-0100-00001C000000}" name="Column28" dataDxfId="23">
      <calculatedColumnFormula>AB99+U100</calculatedColumnFormula>
    </tableColumn>
    <tableColumn id="29" xr3:uid="{00000000-0010-0000-0100-00001D000000}" name="Column29" dataDxfId="22"/>
    <tableColumn id="30" xr3:uid="{00000000-0010-0000-0100-00001E000000}" name="Column30" dataDxfId="21"/>
    <tableColumn id="31" xr3:uid="{00000000-0010-0000-0100-00001F000000}" name="Column31" dataDxfId="20"/>
    <tableColumn id="32" xr3:uid="{00000000-0010-0000-0100-000020000000}" name="Column32" dataDxfId="19"/>
    <tableColumn id="33" xr3:uid="{00000000-0010-0000-0100-000021000000}" name="Column33" dataDxfId="18"/>
    <tableColumn id="34" xr3:uid="{00000000-0010-0000-0100-000022000000}" name="Column34" dataDxfId="17"/>
    <tableColumn id="35" xr3:uid="{00000000-0010-0000-0100-000023000000}" name="Column35" dataDxfId="16">
      <calculatedColumnFormula>AI99+AB100</calculatedColumnFormula>
    </tableColumn>
    <tableColumn id="36" xr3:uid="{00000000-0010-0000-0100-000024000000}" name="Column36" dataDxfId="15"/>
    <tableColumn id="37" xr3:uid="{00000000-0010-0000-0100-000025000000}" name="Column37" dataDxfId="14"/>
    <tableColumn id="38" xr3:uid="{00000000-0010-0000-0100-000026000000}" name="Column38" dataDxfId="13"/>
    <tableColumn id="39" xr3:uid="{00000000-0010-0000-0100-000027000000}" name="Column39" dataDxfId="12"/>
    <tableColumn id="40" xr3:uid="{00000000-0010-0000-0100-000028000000}" name="Column40" dataDxfId="11"/>
    <tableColumn id="41" xr3:uid="{00000000-0010-0000-0100-000029000000}" name="Column41" dataDxfId="10"/>
    <tableColumn id="42" xr3:uid="{00000000-0010-0000-0100-00002A000000}" name="Column42" dataDxfId="9">
      <calculatedColumnFormula>AP99+AI100</calculatedColumnFormula>
    </tableColumn>
    <tableColumn id="43" xr3:uid="{00000000-0010-0000-0100-00002B000000}" name="Column43" dataDxfId="8"/>
    <tableColumn id="44" xr3:uid="{00000000-0010-0000-0100-00002C000000}" name="Column44" dataDxfId="7"/>
    <tableColumn id="45" xr3:uid="{00000000-0010-0000-0100-00002D000000}" name="Column45" dataDxfId="6"/>
    <tableColumn id="46" xr3:uid="{00000000-0010-0000-0100-00002E000000}" name="Column46" dataDxfId="5"/>
    <tableColumn id="47" xr3:uid="{00000000-0010-0000-0100-00002F000000}" name="Column47" dataDxfId="4"/>
    <tableColumn id="48" xr3:uid="{00000000-0010-0000-0100-000030000000}" name="Column48" dataDxfId="3"/>
    <tableColumn id="49" xr3:uid="{00000000-0010-0000-0100-000031000000}" name="Column49" dataDxfId="2">
      <calculatedColumnFormula>AW99+AP100</calculatedColumnFormula>
    </tableColumn>
    <tableColumn id="50" xr3:uid="{00000000-0010-0000-0100-000032000000}" name="Column50" dataDxfId="1"/>
    <tableColumn id="51" xr3:uid="{00000000-0010-0000-0100-000033000000}" name="Column51" dataDxfId="0">
      <calculatedColumnFormula>Table4656565656565[[#This Row],[Column49]]*0.85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9"/>
  <sheetViews>
    <sheetView zoomScale="130" zoomScaleNormal="130" workbookViewId="0">
      <selection activeCell="C5" sqref="C5"/>
    </sheetView>
  </sheetViews>
  <sheetFormatPr baseColWidth="10" defaultColWidth="8.83203125" defaultRowHeight="15"/>
  <cols>
    <col min="1" max="1" width="6.1640625" style="4" customWidth="1"/>
    <col min="2" max="2" width="54.83203125" style="4" customWidth="1"/>
    <col min="3" max="3" width="7.5" style="4" customWidth="1"/>
    <col min="4" max="4" width="7" style="8" customWidth="1"/>
    <col min="5" max="5" width="7.33203125" style="9" customWidth="1"/>
    <col min="6" max="6" width="7.5" style="4" customWidth="1"/>
    <col min="7" max="7" width="10.1640625" style="8" customWidth="1"/>
    <col min="8" max="8" width="7.5" style="4" customWidth="1"/>
    <col min="9" max="9" width="11.33203125" style="4" customWidth="1"/>
    <col min="10" max="10" width="10.33203125" style="3" customWidth="1"/>
    <col min="11" max="11" width="9.5" style="3" customWidth="1"/>
    <col min="12" max="13" width="10.83203125" style="3" customWidth="1"/>
    <col min="14" max="14" width="7.83203125" style="3" customWidth="1"/>
    <col min="15" max="15" width="10" style="3" customWidth="1"/>
    <col min="16" max="16384" width="8.83203125" style="3"/>
  </cols>
  <sheetData>
    <row r="1" spans="1:13" ht="17" thickTop="1">
      <c r="A1" s="10"/>
      <c r="B1" s="11"/>
      <c r="C1" s="11" t="s">
        <v>95</v>
      </c>
      <c r="D1" s="11" t="s">
        <v>12</v>
      </c>
      <c r="E1" s="11" t="s">
        <v>94</v>
      </c>
      <c r="F1" s="11" t="s">
        <v>96</v>
      </c>
      <c r="G1" s="11" t="s">
        <v>13</v>
      </c>
      <c r="H1" s="11" t="s">
        <v>97</v>
      </c>
      <c r="I1" s="11" t="s">
        <v>98</v>
      </c>
      <c r="J1" s="1"/>
      <c r="K1" s="4"/>
      <c r="L1" s="4"/>
      <c r="M1" s="4"/>
    </row>
    <row r="2" spans="1:13" ht="16">
      <c r="A2" s="12"/>
      <c r="B2" s="13" t="s">
        <v>99</v>
      </c>
      <c r="C2" s="14">
        <v>24</v>
      </c>
      <c r="D2" s="15">
        <f>perspective!$C2/perspective!$C2</f>
        <v>1</v>
      </c>
      <c r="E2" s="16"/>
      <c r="F2" s="17">
        <v>7</v>
      </c>
      <c r="G2" s="14">
        <f>C2*7</f>
        <v>168</v>
      </c>
      <c r="H2" s="15">
        <f>perspective!$G2/perspective!$G2</f>
        <v>1</v>
      </c>
      <c r="I2" s="16"/>
      <c r="J2" s="5"/>
      <c r="K2" s="6"/>
      <c r="L2" s="6"/>
      <c r="M2" s="6"/>
    </row>
    <row r="3" spans="1:13" ht="16">
      <c r="A3" s="18"/>
      <c r="B3" s="19" t="s">
        <v>100</v>
      </c>
      <c r="C3" s="20">
        <f>C2-C5</f>
        <v>16</v>
      </c>
      <c r="D3" s="21">
        <f>perspective!$C3/C2</f>
        <v>0.66666666666666663</v>
      </c>
      <c r="E3" s="16"/>
      <c r="F3" s="22">
        <v>7</v>
      </c>
      <c r="G3" s="20">
        <f>G2-G5</f>
        <v>112</v>
      </c>
      <c r="H3" s="21">
        <f>perspective!$G3/G2</f>
        <v>0.66666666666666663</v>
      </c>
      <c r="I3" s="16"/>
      <c r="J3" s="5"/>
      <c r="K3" s="6"/>
      <c r="L3" s="6"/>
      <c r="M3" s="6"/>
    </row>
    <row r="4" spans="1:13" ht="16">
      <c r="A4" s="24" t="s">
        <v>15</v>
      </c>
      <c r="B4" s="23"/>
      <c r="C4" s="23"/>
      <c r="D4" s="23"/>
      <c r="E4" s="23"/>
      <c r="F4" s="23"/>
      <c r="G4" s="23"/>
      <c r="H4" s="23"/>
      <c r="I4" s="23"/>
      <c r="J4" s="5"/>
      <c r="K4" s="6"/>
      <c r="L4" s="6"/>
      <c r="M4" s="6"/>
    </row>
    <row r="5" spans="1:13" ht="18">
      <c r="A5" s="18">
        <v>1</v>
      </c>
      <c r="B5" s="19" t="s">
        <v>40</v>
      </c>
      <c r="C5" s="25">
        <v>8</v>
      </c>
      <c r="D5" s="21">
        <f t="shared" ref="D5:D14" si="0">C5/24</f>
        <v>0.33333333333333331</v>
      </c>
      <c r="E5" s="16"/>
      <c r="F5" s="22">
        <v>7</v>
      </c>
      <c r="G5" s="20">
        <f>perspective!$C5*perspective!$F5</f>
        <v>56</v>
      </c>
      <c r="H5" s="21">
        <f t="shared" ref="H5:H14" si="1">G5/168</f>
        <v>0.33333333333333331</v>
      </c>
      <c r="I5" s="16"/>
      <c r="J5" s="2"/>
      <c r="K5" s="6"/>
      <c r="L5" s="6"/>
      <c r="M5" s="6"/>
    </row>
    <row r="6" spans="1:13" ht="18">
      <c r="A6" s="12">
        <v>2</v>
      </c>
      <c r="B6" s="13" t="s">
        <v>16</v>
      </c>
      <c r="C6" s="25">
        <v>0.5</v>
      </c>
      <c r="D6" s="15">
        <f t="shared" si="0"/>
        <v>2.0833333333333332E-2</v>
      </c>
      <c r="E6" s="15">
        <f>perspective!$C6/$C$3</f>
        <v>3.125E-2</v>
      </c>
      <c r="F6" s="17">
        <v>7</v>
      </c>
      <c r="G6" s="14">
        <f>perspective!$C6*perspective!$F6</f>
        <v>3.5</v>
      </c>
      <c r="H6" s="15">
        <f t="shared" si="1"/>
        <v>2.0833333333333332E-2</v>
      </c>
      <c r="I6" s="15">
        <f>perspective!$G6/$G$3</f>
        <v>3.125E-2</v>
      </c>
      <c r="J6" s="2"/>
      <c r="K6" s="6"/>
      <c r="L6" s="6"/>
      <c r="M6" s="6"/>
    </row>
    <row r="7" spans="1:13" ht="18">
      <c r="A7" s="18">
        <v>3</v>
      </c>
      <c r="B7" s="19" t="s">
        <v>17</v>
      </c>
      <c r="C7" s="25">
        <v>0.5</v>
      </c>
      <c r="D7" s="21">
        <f t="shared" si="0"/>
        <v>2.0833333333333332E-2</v>
      </c>
      <c r="E7" s="21">
        <f>perspective!$C7/$C$3</f>
        <v>3.125E-2</v>
      </c>
      <c r="F7" s="22">
        <v>7</v>
      </c>
      <c r="G7" s="20">
        <f>perspective!$C7*perspective!$F7</f>
        <v>3.5</v>
      </c>
      <c r="H7" s="21">
        <f t="shared" si="1"/>
        <v>2.0833333333333332E-2</v>
      </c>
      <c r="I7" s="21">
        <f>perspective!$G7/$G$3</f>
        <v>3.125E-2</v>
      </c>
      <c r="J7" s="2"/>
    </row>
    <row r="8" spans="1:13" ht="18">
      <c r="A8" s="12">
        <v>4</v>
      </c>
      <c r="B8" s="13" t="s">
        <v>101</v>
      </c>
      <c r="C8" s="25">
        <v>0</v>
      </c>
      <c r="D8" s="15">
        <f t="shared" si="0"/>
        <v>0</v>
      </c>
      <c r="E8" s="15">
        <f>perspective!$C8/$C$3</f>
        <v>0</v>
      </c>
      <c r="F8" s="17"/>
      <c r="G8" s="14">
        <f>perspective!$C8*perspective!$F8</f>
        <v>0</v>
      </c>
      <c r="H8" s="15">
        <f t="shared" si="1"/>
        <v>0</v>
      </c>
      <c r="I8" s="15">
        <f>perspective!$G8/$G$3</f>
        <v>0</v>
      </c>
      <c r="J8" s="2"/>
    </row>
    <row r="9" spans="1:13" ht="18">
      <c r="A9" s="18">
        <v>5</v>
      </c>
      <c r="B9" s="19"/>
      <c r="C9" s="25"/>
      <c r="D9" s="21">
        <f t="shared" si="0"/>
        <v>0</v>
      </c>
      <c r="E9" s="21">
        <f>perspective!$C9/$C$3</f>
        <v>0</v>
      </c>
      <c r="F9" s="22"/>
      <c r="G9" s="20">
        <f>perspective!$C9*perspective!$F9</f>
        <v>0</v>
      </c>
      <c r="H9" s="21">
        <f t="shared" si="1"/>
        <v>0</v>
      </c>
      <c r="I9" s="21">
        <f>perspective!$G9/$G$3</f>
        <v>0</v>
      </c>
      <c r="J9" s="2"/>
    </row>
    <row r="10" spans="1:13" ht="18">
      <c r="A10" s="12">
        <v>6</v>
      </c>
      <c r="B10" s="13"/>
      <c r="C10" s="25"/>
      <c r="D10" s="15">
        <f t="shared" si="0"/>
        <v>0</v>
      </c>
      <c r="E10" s="15">
        <f>perspective!$C10/$C$3</f>
        <v>0</v>
      </c>
      <c r="F10" s="17"/>
      <c r="G10" s="14">
        <f>perspective!$C10*perspective!$F10</f>
        <v>0</v>
      </c>
      <c r="H10" s="15">
        <f t="shared" si="1"/>
        <v>0</v>
      </c>
      <c r="I10" s="15">
        <f>perspective!$G10/$G$3</f>
        <v>0</v>
      </c>
      <c r="J10" s="2"/>
    </row>
    <row r="11" spans="1:13" ht="18">
      <c r="A11" s="18">
        <v>7</v>
      </c>
      <c r="B11" s="19"/>
      <c r="C11" s="25"/>
      <c r="D11" s="21">
        <f t="shared" si="0"/>
        <v>0</v>
      </c>
      <c r="E11" s="21">
        <f>perspective!$C11/$C$3</f>
        <v>0</v>
      </c>
      <c r="F11" s="22"/>
      <c r="G11" s="20">
        <f>perspective!$C11*perspective!$F11</f>
        <v>0</v>
      </c>
      <c r="H11" s="21">
        <f t="shared" si="1"/>
        <v>0</v>
      </c>
      <c r="I11" s="21">
        <f>perspective!$G11/$G$3</f>
        <v>0</v>
      </c>
      <c r="J11" s="2"/>
    </row>
    <row r="12" spans="1:13" ht="16">
      <c r="A12" s="26" t="s">
        <v>18</v>
      </c>
      <c r="B12" s="27"/>
      <c r="C12" s="28">
        <f>SUM(C6:C8)</f>
        <v>1</v>
      </c>
      <c r="D12" s="15">
        <f t="shared" si="0"/>
        <v>4.1666666666666664E-2</v>
      </c>
      <c r="E12" s="15">
        <f>perspective!$C12/$C$3</f>
        <v>6.25E-2</v>
      </c>
      <c r="F12" s="16"/>
      <c r="G12" s="28">
        <f>SUM(G6:G8)</f>
        <v>7</v>
      </c>
      <c r="H12" s="15">
        <f t="shared" si="1"/>
        <v>4.1666666666666664E-2</v>
      </c>
      <c r="I12" s="15">
        <f>perspective!$G12/$G$3</f>
        <v>6.25E-2</v>
      </c>
      <c r="J12" s="2"/>
    </row>
    <row r="13" spans="1:13" ht="16">
      <c r="A13" s="26" t="s">
        <v>19</v>
      </c>
      <c r="B13" s="27"/>
      <c r="C13" s="28">
        <f>SUM(C5:C11)</f>
        <v>9</v>
      </c>
      <c r="D13" s="21">
        <f t="shared" si="0"/>
        <v>0.375</v>
      </c>
      <c r="E13" s="16"/>
      <c r="F13" s="16"/>
      <c r="G13" s="28">
        <f>SUM(G5:G11)</f>
        <v>63</v>
      </c>
      <c r="H13" s="21">
        <f t="shared" si="1"/>
        <v>0.375</v>
      </c>
      <c r="I13" s="16"/>
      <c r="J13" s="2"/>
    </row>
    <row r="14" spans="1:13" ht="16">
      <c r="A14" s="26" t="s">
        <v>20</v>
      </c>
      <c r="B14" s="27"/>
      <c r="C14" s="28">
        <f>SUM(C6:C11)</f>
        <v>1</v>
      </c>
      <c r="D14" s="15">
        <f t="shared" si="0"/>
        <v>4.1666666666666664E-2</v>
      </c>
      <c r="E14" s="15">
        <f>perspective!$C14/$C$3</f>
        <v>6.25E-2</v>
      </c>
      <c r="F14" s="29"/>
      <c r="G14" s="28">
        <f>SUM(G6:G11)</f>
        <v>7</v>
      </c>
      <c r="H14" s="15">
        <f t="shared" si="1"/>
        <v>4.1666666666666664E-2</v>
      </c>
      <c r="I14" s="15">
        <f>perspective!$G14/$G$3</f>
        <v>6.25E-2</v>
      </c>
      <c r="J14" s="2"/>
    </row>
    <row r="15" spans="1:13" ht="16">
      <c r="A15"/>
      <c r="B15"/>
      <c r="C15"/>
      <c r="D15"/>
      <c r="E15"/>
      <c r="F15"/>
      <c r="G15"/>
      <c r="H15"/>
      <c r="I15"/>
      <c r="J15" s="2"/>
    </row>
    <row r="16" spans="1:13" ht="16">
      <c r="A16"/>
      <c r="B16"/>
      <c r="C16"/>
      <c r="D16"/>
      <c r="E16"/>
      <c r="F16"/>
      <c r="G16"/>
      <c r="H16"/>
      <c r="I16"/>
      <c r="J16" s="2"/>
    </row>
    <row r="17" spans="1:15" ht="16">
      <c r="A17"/>
      <c r="B17"/>
      <c r="C17"/>
      <c r="D17"/>
      <c r="E17"/>
      <c r="F17"/>
      <c r="G17"/>
      <c r="H17"/>
      <c r="I17"/>
      <c r="J17" s="2"/>
    </row>
    <row r="18" spans="1:15" ht="16">
      <c r="A18"/>
      <c r="B18"/>
      <c r="C18"/>
      <c r="D18"/>
      <c r="E18"/>
      <c r="F18"/>
      <c r="G18"/>
      <c r="H18"/>
      <c r="I18"/>
      <c r="J18" s="2"/>
    </row>
    <row r="19" spans="1:15" ht="16">
      <c r="A19"/>
      <c r="B19"/>
      <c r="C19"/>
      <c r="D19"/>
      <c r="E19"/>
      <c r="F19"/>
      <c r="G19"/>
      <c r="H19"/>
      <c r="I19"/>
      <c r="J19" s="2"/>
    </row>
    <row r="20" spans="1:15" ht="16">
      <c r="A20"/>
      <c r="B20"/>
      <c r="C20"/>
      <c r="D20"/>
      <c r="E20"/>
      <c r="F20"/>
      <c r="G20"/>
      <c r="H20"/>
      <c r="I20"/>
      <c r="J20" s="2"/>
    </row>
    <row r="21" spans="1:15" ht="16">
      <c r="A21"/>
      <c r="B21"/>
      <c r="C21"/>
      <c r="D21"/>
      <c r="E21"/>
      <c r="F21"/>
      <c r="G21"/>
      <c r="H21"/>
      <c r="I21"/>
      <c r="J21" s="2"/>
    </row>
    <row r="22" spans="1:15">
      <c r="A22"/>
      <c r="B22"/>
      <c r="C22"/>
      <c r="D22"/>
      <c r="E22"/>
      <c r="F22"/>
      <c r="G22"/>
      <c r="H22"/>
      <c r="I22"/>
      <c r="J22" s="6"/>
      <c r="K22" s="6"/>
      <c r="L22" s="6"/>
      <c r="O22" s="7"/>
    </row>
    <row r="23" spans="1:15">
      <c r="A23"/>
      <c r="B23"/>
      <c r="C23"/>
      <c r="D23"/>
      <c r="E23"/>
      <c r="F23"/>
      <c r="G23"/>
      <c r="H23"/>
      <c r="I23"/>
      <c r="J23" s="6"/>
      <c r="K23" s="6"/>
      <c r="L23" s="6"/>
    </row>
    <row r="24" spans="1:15">
      <c r="A24"/>
      <c r="B24"/>
      <c r="C24"/>
      <c r="D24"/>
      <c r="E24"/>
      <c r="F24"/>
      <c r="G24"/>
      <c r="H24"/>
      <c r="I24"/>
      <c r="J24" s="6"/>
      <c r="K24" s="6"/>
      <c r="L24" s="6"/>
    </row>
    <row r="25" spans="1:15">
      <c r="A25"/>
      <c r="B25"/>
      <c r="C25"/>
      <c r="D25"/>
      <c r="E25"/>
      <c r="F25"/>
      <c r="G25"/>
      <c r="H25"/>
      <c r="I25"/>
      <c r="J25" s="6"/>
      <c r="K25" s="6"/>
      <c r="L25" s="6"/>
    </row>
    <row r="26" spans="1:15">
      <c r="A26"/>
      <c r="B26"/>
      <c r="C26"/>
      <c r="D26"/>
      <c r="E26"/>
      <c r="F26"/>
      <c r="G26"/>
      <c r="H26"/>
      <c r="I26"/>
      <c r="J26" s="6"/>
      <c r="K26" s="6"/>
      <c r="L26" s="6"/>
    </row>
    <row r="27" spans="1:15">
      <c r="A27"/>
      <c r="B27"/>
      <c r="C27"/>
      <c r="D27"/>
      <c r="E27"/>
      <c r="F27"/>
      <c r="G27"/>
      <c r="H27"/>
      <c r="I27"/>
      <c r="J27" s="6"/>
      <c r="K27" s="6"/>
      <c r="L27" s="6"/>
    </row>
    <row r="28" spans="1:15">
      <c r="A28"/>
      <c r="B28"/>
      <c r="C28"/>
      <c r="D28"/>
      <c r="E28"/>
      <c r="F28"/>
      <c r="G28"/>
      <c r="H28"/>
      <c r="I28"/>
      <c r="J28" s="6"/>
      <c r="K28" s="6"/>
      <c r="L28" s="6"/>
    </row>
    <row r="29" spans="1:15">
      <c r="A29"/>
      <c r="B29"/>
      <c r="C29"/>
      <c r="D29"/>
      <c r="E29"/>
      <c r="F29"/>
      <c r="G29"/>
      <c r="H29"/>
      <c r="I29"/>
      <c r="J29" s="6"/>
      <c r="K29" s="6"/>
      <c r="L29" s="6"/>
    </row>
    <row r="30" spans="1:15">
      <c r="A30"/>
      <c r="B30"/>
      <c r="C30"/>
      <c r="D30"/>
      <c r="E30"/>
      <c r="F30"/>
      <c r="G30"/>
      <c r="H30"/>
      <c r="I30"/>
      <c r="J30" s="6"/>
      <c r="K30" s="6"/>
      <c r="L30" s="6"/>
    </row>
    <row r="31" spans="1:15">
      <c r="A31"/>
      <c r="B31"/>
      <c r="C31"/>
      <c r="D31"/>
      <c r="E31"/>
      <c r="F31"/>
      <c r="G31"/>
      <c r="H31"/>
      <c r="I31"/>
      <c r="J31" s="6"/>
      <c r="K31" s="6"/>
      <c r="L31" s="6"/>
    </row>
    <row r="32" spans="1:15">
      <c r="A32"/>
      <c r="B32"/>
      <c r="C32"/>
      <c r="D32"/>
      <c r="E32"/>
      <c r="F32"/>
      <c r="G32"/>
      <c r="H32"/>
      <c r="I32"/>
      <c r="J32" s="6"/>
      <c r="K32" s="6"/>
      <c r="L32" s="6"/>
    </row>
    <row r="33" spans="1:12">
      <c r="A33"/>
      <c r="B33"/>
      <c r="C33"/>
      <c r="D33"/>
      <c r="E33"/>
      <c r="F33"/>
      <c r="G33"/>
      <c r="H33"/>
      <c r="I33"/>
      <c r="J33" s="6"/>
      <c r="K33" s="6"/>
      <c r="L33" s="6"/>
    </row>
    <row r="34" spans="1:12">
      <c r="A34"/>
      <c r="B34"/>
      <c r="C34"/>
      <c r="D34"/>
      <c r="E34"/>
      <c r="F34"/>
      <c r="G34"/>
      <c r="H34"/>
      <c r="I34"/>
      <c r="J34" s="6"/>
      <c r="K34" s="6"/>
      <c r="L34" s="6"/>
    </row>
    <row r="35" spans="1:12">
      <c r="A35"/>
      <c r="B35"/>
      <c r="C35"/>
      <c r="D35"/>
      <c r="E35"/>
      <c r="F35"/>
      <c r="G35"/>
      <c r="H35"/>
      <c r="I35"/>
      <c r="J35" s="6"/>
      <c r="K35" s="6"/>
      <c r="L35" s="6"/>
    </row>
    <row r="36" spans="1:12">
      <c r="A36"/>
      <c r="B36"/>
      <c r="C36"/>
      <c r="D36"/>
      <c r="E36"/>
      <c r="F36"/>
      <c r="G36"/>
      <c r="H36"/>
      <c r="I36"/>
      <c r="J36" s="6"/>
      <c r="K36" s="6"/>
      <c r="L36" s="6"/>
    </row>
    <row r="37" spans="1:12">
      <c r="A37"/>
      <c r="B37"/>
      <c r="C37"/>
      <c r="D37"/>
      <c r="E37"/>
      <c r="F37"/>
      <c r="G37"/>
      <c r="H37"/>
      <c r="I37"/>
      <c r="J37" s="6"/>
      <c r="K37" s="6"/>
      <c r="L37" s="6"/>
    </row>
    <row r="38" spans="1:12">
      <c r="A38"/>
      <c r="B38"/>
      <c r="C38"/>
      <c r="D38"/>
      <c r="E38"/>
      <c r="F38"/>
      <c r="G38"/>
      <c r="H38"/>
      <c r="I38"/>
      <c r="J38" s="6"/>
      <c r="K38" s="6"/>
      <c r="L38" s="6"/>
    </row>
    <row r="39" spans="1:12">
      <c r="A39"/>
      <c r="B39"/>
      <c r="C39"/>
      <c r="D39"/>
      <c r="E39"/>
      <c r="F39"/>
      <c r="G39"/>
      <c r="H39"/>
      <c r="I39"/>
      <c r="J39" s="6"/>
      <c r="K39" s="6"/>
      <c r="L39" s="6"/>
    </row>
    <row r="40" spans="1:12">
      <c r="A40"/>
      <c r="B40"/>
      <c r="C40"/>
      <c r="D40"/>
      <c r="E40"/>
      <c r="F40"/>
      <c r="G40"/>
      <c r="H40"/>
      <c r="I40"/>
      <c r="J40" s="6"/>
      <c r="K40" s="6"/>
      <c r="L40" s="6"/>
    </row>
    <row r="41" spans="1:12">
      <c r="A41"/>
      <c r="B41"/>
      <c r="C41"/>
      <c r="D41"/>
      <c r="E41"/>
      <c r="F41"/>
      <c r="G41"/>
      <c r="H41"/>
      <c r="I41"/>
      <c r="J41" s="6"/>
      <c r="K41" s="6"/>
      <c r="L41" s="6"/>
    </row>
    <row r="42" spans="1:12">
      <c r="A42"/>
      <c r="B42"/>
      <c r="C42"/>
      <c r="D42"/>
      <c r="E42"/>
      <c r="F42"/>
      <c r="G42"/>
      <c r="H42"/>
      <c r="I42"/>
      <c r="J42" s="6"/>
      <c r="K42" s="6"/>
      <c r="L42" s="6"/>
    </row>
    <row r="43" spans="1:12">
      <c r="A43"/>
      <c r="B43"/>
      <c r="C43"/>
      <c r="D43"/>
      <c r="E43"/>
      <c r="F43"/>
      <c r="G43"/>
      <c r="H43"/>
      <c r="I43"/>
      <c r="J43" s="6"/>
      <c r="K43" s="6"/>
      <c r="L43" s="6"/>
    </row>
    <row r="44" spans="1:12">
      <c r="A44"/>
      <c r="B44"/>
      <c r="C44"/>
      <c r="D44"/>
      <c r="E44"/>
      <c r="F44"/>
      <c r="G44"/>
      <c r="H44"/>
      <c r="I44"/>
      <c r="J44" s="6"/>
      <c r="K44" s="6"/>
      <c r="L44" s="6"/>
    </row>
    <row r="45" spans="1:12">
      <c r="A45"/>
      <c r="B45"/>
      <c r="C45"/>
      <c r="D45"/>
      <c r="E45"/>
      <c r="F45"/>
      <c r="G45"/>
      <c r="H45"/>
      <c r="I45"/>
      <c r="J45" s="6"/>
      <c r="K45" s="6"/>
      <c r="L45" s="6"/>
    </row>
    <row r="46" spans="1:12">
      <c r="A46"/>
      <c r="B46"/>
      <c r="C46"/>
      <c r="D46"/>
      <c r="E46"/>
      <c r="F46"/>
      <c r="G46"/>
      <c r="H46"/>
      <c r="I46"/>
      <c r="J46" s="6"/>
      <c r="K46" s="6"/>
      <c r="L46" s="6"/>
    </row>
    <row r="47" spans="1:12">
      <c r="A47"/>
      <c r="B47"/>
      <c r="C47"/>
      <c r="D47"/>
      <c r="E47"/>
      <c r="F47"/>
      <c r="G47"/>
      <c r="H47"/>
      <c r="I47"/>
      <c r="J47" s="6"/>
      <c r="K47" s="6"/>
      <c r="L47" s="6"/>
    </row>
    <row r="48" spans="1:12">
      <c r="A48"/>
      <c r="B48"/>
      <c r="C48"/>
      <c r="D48"/>
      <c r="E48"/>
      <c r="F48"/>
      <c r="G48"/>
      <c r="H48"/>
      <c r="I48"/>
      <c r="J48" s="6"/>
      <c r="K48" s="6"/>
      <c r="L48" s="6"/>
    </row>
    <row r="49" spans="1:12">
      <c r="A49"/>
      <c r="B49"/>
      <c r="C49"/>
      <c r="D49"/>
      <c r="E49"/>
      <c r="F49"/>
      <c r="G49"/>
      <c r="H49"/>
      <c r="I49"/>
      <c r="J49" s="6"/>
      <c r="K49" s="6"/>
      <c r="L49" s="6"/>
    </row>
    <row r="50" spans="1:12">
      <c r="A50"/>
      <c r="B50"/>
      <c r="C50"/>
      <c r="D50"/>
      <c r="E50"/>
      <c r="F50"/>
      <c r="G50"/>
      <c r="H50"/>
      <c r="I50"/>
      <c r="J50" s="6"/>
      <c r="K50" s="6"/>
      <c r="L50" s="6"/>
    </row>
    <row r="51" spans="1:12">
      <c r="A51"/>
      <c r="B51"/>
      <c r="C51"/>
      <c r="D51"/>
      <c r="E51"/>
      <c r="F51"/>
      <c r="G51"/>
      <c r="H51"/>
      <c r="I51"/>
      <c r="J51" s="6"/>
      <c r="K51" s="6"/>
      <c r="L51" s="6"/>
    </row>
    <row r="52" spans="1:12">
      <c r="A52"/>
      <c r="B52"/>
      <c r="C52"/>
      <c r="D52"/>
      <c r="E52"/>
      <c r="F52"/>
      <c r="G52"/>
      <c r="H52"/>
      <c r="I52"/>
      <c r="J52" s="6"/>
      <c r="K52" s="6"/>
      <c r="L52" s="6"/>
    </row>
    <row r="53" spans="1:12">
      <c r="A53"/>
      <c r="B53"/>
      <c r="C53"/>
      <c r="D53"/>
      <c r="E53"/>
      <c r="F53"/>
      <c r="G53"/>
      <c r="H53"/>
      <c r="I53"/>
      <c r="J53" s="6"/>
      <c r="K53" s="6"/>
      <c r="L53" s="6"/>
    </row>
    <row r="54" spans="1:12">
      <c r="A54"/>
      <c r="B54"/>
      <c r="C54"/>
      <c r="D54"/>
      <c r="E54"/>
      <c r="F54"/>
      <c r="G54"/>
      <c r="H54"/>
      <c r="I54"/>
      <c r="J54" s="6"/>
      <c r="K54" s="6"/>
      <c r="L54" s="6"/>
    </row>
    <row r="55" spans="1:12">
      <c r="A55" s="5"/>
      <c r="B55" s="5"/>
      <c r="C55" s="5"/>
      <c r="D55" s="5"/>
      <c r="E55" s="5"/>
      <c r="F55" s="5"/>
      <c r="G55" s="5"/>
      <c r="H55" s="5"/>
      <c r="I55" s="5"/>
      <c r="J55" s="6"/>
      <c r="K55" s="6"/>
      <c r="L55" s="6"/>
    </row>
    <row r="56" spans="1:12">
      <c r="A56" s="5"/>
      <c r="B56" s="5"/>
      <c r="C56" s="5"/>
      <c r="D56" s="5"/>
      <c r="E56" s="5"/>
      <c r="F56" s="5"/>
      <c r="G56" s="5"/>
      <c r="H56" s="5"/>
      <c r="I56" s="5"/>
      <c r="J56" s="6"/>
      <c r="K56" s="6"/>
      <c r="L56" s="6"/>
    </row>
    <row r="57" spans="1:12">
      <c r="A57" s="5"/>
      <c r="B57" s="5"/>
      <c r="C57" s="5"/>
      <c r="D57" s="5"/>
      <c r="E57" s="5"/>
      <c r="F57" s="5"/>
      <c r="G57" s="5"/>
      <c r="H57" s="5"/>
      <c r="I57" s="5"/>
      <c r="J57" s="6"/>
      <c r="K57" s="6"/>
      <c r="L57" s="6"/>
    </row>
    <row r="58" spans="1:12">
      <c r="A58" s="5"/>
      <c r="B58" s="5"/>
      <c r="C58" s="5"/>
      <c r="D58" s="5"/>
      <c r="E58" s="5"/>
      <c r="F58" s="5"/>
      <c r="G58" s="5"/>
      <c r="H58" s="5"/>
      <c r="I58" s="5"/>
      <c r="J58" s="6"/>
      <c r="K58" s="6"/>
      <c r="L58" s="6"/>
    </row>
    <row r="59" spans="1:12">
      <c r="A59" s="5"/>
      <c r="B59" s="5"/>
      <c r="C59" s="5"/>
      <c r="D59" s="5"/>
      <c r="E59" s="5"/>
      <c r="F59" s="5"/>
      <c r="G59" s="5"/>
      <c r="H59" s="5"/>
      <c r="I59" s="5"/>
      <c r="J59" s="6"/>
      <c r="K59" s="6"/>
      <c r="L59" s="6"/>
    </row>
    <row r="60" spans="1:12">
      <c r="A60" s="5"/>
      <c r="B60" s="5"/>
      <c r="C60" s="5"/>
      <c r="D60" s="5"/>
      <c r="E60" s="5"/>
      <c r="F60" s="5"/>
      <c r="G60" s="5"/>
      <c r="H60" s="5"/>
      <c r="I60" s="5"/>
      <c r="J60" s="6"/>
      <c r="K60" s="6"/>
      <c r="L60" s="6"/>
    </row>
    <row r="61" spans="1:12">
      <c r="A61" s="5"/>
      <c r="B61" s="5"/>
      <c r="C61" s="5"/>
      <c r="D61" s="5"/>
      <c r="E61" s="5"/>
      <c r="F61" s="5"/>
      <c r="G61" s="5"/>
      <c r="H61" s="5"/>
      <c r="I61" s="5"/>
      <c r="J61" s="6"/>
      <c r="K61" s="6"/>
      <c r="L61" s="6"/>
    </row>
    <row r="62" spans="1:12">
      <c r="A62" s="5"/>
      <c r="B62" s="5"/>
      <c r="C62" s="5"/>
      <c r="D62" s="5"/>
      <c r="E62" s="5"/>
      <c r="F62" s="5"/>
      <c r="G62" s="5"/>
      <c r="H62" s="5"/>
      <c r="I62" s="5"/>
      <c r="J62" s="6"/>
      <c r="K62" s="6"/>
      <c r="L62" s="6"/>
    </row>
    <row r="63" spans="1:12">
      <c r="A63" s="5"/>
      <c r="B63" s="5"/>
      <c r="C63" s="5"/>
      <c r="D63" s="5"/>
      <c r="E63" s="5"/>
      <c r="F63" s="5"/>
      <c r="G63" s="5"/>
      <c r="H63" s="5"/>
      <c r="I63" s="5"/>
      <c r="J63" s="6"/>
      <c r="K63" s="6"/>
      <c r="L63" s="6"/>
    </row>
    <row r="64" spans="1:12">
      <c r="A64" s="5"/>
      <c r="B64" s="5"/>
      <c r="C64" s="5"/>
      <c r="D64" s="5"/>
      <c r="E64" s="5"/>
      <c r="F64" s="5"/>
      <c r="G64" s="5"/>
      <c r="H64" s="5"/>
      <c r="I64" s="5"/>
      <c r="J64" s="6"/>
      <c r="K64" s="6"/>
      <c r="L64" s="6"/>
    </row>
    <row r="65" spans="1:12">
      <c r="A65" s="5"/>
      <c r="B65" s="5"/>
      <c r="C65" s="5"/>
      <c r="D65" s="5"/>
      <c r="E65" s="5"/>
      <c r="F65" s="5"/>
      <c r="G65" s="5"/>
      <c r="H65" s="5"/>
      <c r="I65" s="5"/>
      <c r="J65" s="6"/>
      <c r="K65" s="6"/>
      <c r="L65" s="6"/>
    </row>
    <row r="66" spans="1:12">
      <c r="A66" s="5"/>
      <c r="B66" s="5"/>
      <c r="C66" s="5"/>
      <c r="D66" s="5"/>
      <c r="E66" s="5"/>
      <c r="F66" s="5"/>
      <c r="G66" s="5"/>
      <c r="H66" s="5"/>
      <c r="I66" s="5"/>
      <c r="J66" s="6"/>
      <c r="K66" s="6"/>
      <c r="L66" s="6"/>
    </row>
    <row r="67" spans="1:12">
      <c r="A67" s="5"/>
      <c r="B67" s="5"/>
      <c r="C67" s="5"/>
      <c r="D67" s="5"/>
      <c r="E67" s="5"/>
      <c r="F67" s="5"/>
      <c r="G67" s="5"/>
      <c r="H67" s="5"/>
      <c r="I67" s="5"/>
      <c r="J67" s="6"/>
      <c r="K67" s="6"/>
      <c r="L67" s="6"/>
    </row>
    <row r="68" spans="1:12">
      <c r="A68" s="5"/>
      <c r="B68" s="5"/>
      <c r="C68" s="5"/>
      <c r="D68" s="5"/>
      <c r="E68" s="5"/>
      <c r="F68" s="5"/>
      <c r="G68" s="5"/>
      <c r="H68" s="5"/>
      <c r="I68" s="5"/>
      <c r="J68" s="6"/>
      <c r="K68" s="6"/>
      <c r="L68" s="6"/>
    </row>
    <row r="69" spans="1:12">
      <c r="A69" s="5"/>
      <c r="B69" s="5"/>
      <c r="C69" s="5"/>
      <c r="D69" s="5"/>
      <c r="E69" s="5"/>
      <c r="F69" s="5"/>
      <c r="G69" s="5"/>
      <c r="H69" s="5"/>
      <c r="I69" s="5"/>
      <c r="J69" s="6"/>
      <c r="K69" s="6"/>
      <c r="L69" s="6"/>
    </row>
    <row r="70" spans="1:12">
      <c r="A70" s="5"/>
      <c r="B70" s="5"/>
      <c r="C70" s="5"/>
      <c r="D70" s="5"/>
      <c r="E70" s="5"/>
      <c r="F70" s="5"/>
      <c r="G70" s="5"/>
      <c r="H70" s="5"/>
      <c r="I70" s="5"/>
      <c r="J70" s="6"/>
      <c r="K70" s="6"/>
      <c r="L70" s="6"/>
    </row>
    <row r="71" spans="1:12">
      <c r="A71" s="5"/>
      <c r="B71" s="5"/>
      <c r="C71" s="5"/>
      <c r="D71" s="5"/>
      <c r="E71" s="5"/>
      <c r="F71" s="5"/>
      <c r="G71" s="5"/>
      <c r="H71" s="5"/>
      <c r="I71" s="5"/>
      <c r="J71" s="6"/>
      <c r="K71" s="6"/>
      <c r="L71" s="6"/>
    </row>
    <row r="72" spans="1:12">
      <c r="A72" s="5"/>
      <c r="B72" s="5"/>
      <c r="C72" s="5"/>
      <c r="D72" s="5"/>
      <c r="E72" s="5"/>
      <c r="F72" s="5"/>
      <c r="G72" s="5"/>
      <c r="H72" s="5"/>
      <c r="I72" s="5"/>
      <c r="J72" s="6"/>
      <c r="K72" s="6"/>
      <c r="L72" s="6"/>
    </row>
    <row r="73" spans="1:12">
      <c r="A73" s="5"/>
      <c r="B73" s="5"/>
      <c r="C73" s="5"/>
      <c r="D73" s="5"/>
      <c r="E73" s="5"/>
      <c r="F73" s="5"/>
      <c r="G73" s="5"/>
      <c r="H73" s="5"/>
      <c r="I73" s="5"/>
      <c r="J73" s="6"/>
      <c r="K73" s="6"/>
      <c r="L73" s="6"/>
    </row>
    <row r="74" spans="1:12">
      <c r="A74" s="5"/>
      <c r="B74" s="5"/>
      <c r="C74" s="5"/>
      <c r="D74" s="5"/>
      <c r="E74" s="5"/>
      <c r="F74" s="5"/>
      <c r="G74" s="5"/>
      <c r="H74" s="5"/>
      <c r="I74" s="5"/>
      <c r="J74" s="6"/>
      <c r="K74" s="6"/>
      <c r="L74" s="6"/>
    </row>
    <row r="75" spans="1:12">
      <c r="A75" s="5"/>
      <c r="B75" s="5"/>
      <c r="C75" s="5"/>
      <c r="D75" s="5"/>
      <c r="E75" s="5"/>
      <c r="F75" s="5"/>
      <c r="G75" s="5"/>
      <c r="H75" s="5"/>
      <c r="I75" s="5"/>
      <c r="J75" s="6"/>
      <c r="K75" s="6"/>
      <c r="L75" s="6"/>
    </row>
    <row r="76" spans="1:12">
      <c r="A76" s="5"/>
      <c r="B76" s="5"/>
      <c r="C76" s="5"/>
      <c r="D76" s="5"/>
      <c r="E76" s="5"/>
      <c r="F76" s="5"/>
      <c r="G76" s="5"/>
      <c r="H76" s="5"/>
      <c r="I76" s="5"/>
      <c r="J76" s="6"/>
      <c r="K76" s="6"/>
      <c r="L76" s="6"/>
    </row>
    <row r="77" spans="1:12">
      <c r="A77" s="5"/>
      <c r="B77" s="5"/>
      <c r="C77" s="5"/>
      <c r="D77" s="5"/>
      <c r="E77" s="5"/>
      <c r="F77" s="5"/>
      <c r="G77" s="5"/>
      <c r="H77" s="5"/>
      <c r="I77" s="5"/>
      <c r="J77" s="6"/>
      <c r="K77" s="6"/>
      <c r="L77" s="6"/>
    </row>
    <row r="78" spans="1:12">
      <c r="A78" s="5"/>
      <c r="B78" s="5"/>
      <c r="C78" s="5"/>
      <c r="D78" s="5"/>
      <c r="E78" s="5"/>
      <c r="F78" s="5"/>
      <c r="G78" s="5"/>
      <c r="H78" s="5"/>
      <c r="I78" s="5"/>
      <c r="J78" s="6"/>
      <c r="K78" s="6"/>
      <c r="L78" s="6"/>
    </row>
    <row r="79" spans="1:12">
      <c r="A79" s="5"/>
      <c r="B79" s="5"/>
      <c r="C79" s="5"/>
      <c r="D79" s="5"/>
      <c r="E79" s="5"/>
      <c r="F79" s="5"/>
      <c r="G79" s="5"/>
      <c r="H79" s="5"/>
      <c r="I79" s="5"/>
      <c r="J79" s="6"/>
      <c r="K79" s="6"/>
      <c r="L79" s="6"/>
    </row>
    <row r="80" spans="1:12">
      <c r="A80" s="5"/>
      <c r="B80" s="5"/>
      <c r="C80" s="5"/>
      <c r="D80" s="5"/>
      <c r="E80" s="5"/>
      <c r="F80" s="5"/>
      <c r="G80" s="5"/>
      <c r="H80" s="5"/>
      <c r="I80" s="5"/>
      <c r="J80" s="6"/>
      <c r="K80" s="6"/>
      <c r="L80" s="6"/>
    </row>
    <row r="81" spans="1:12">
      <c r="A81" s="5"/>
      <c r="B81" s="5"/>
      <c r="C81" s="5"/>
      <c r="D81" s="5"/>
      <c r="E81" s="5"/>
      <c r="F81" s="5"/>
      <c r="G81" s="5"/>
      <c r="H81" s="5"/>
      <c r="I81" s="5"/>
      <c r="J81" s="6"/>
      <c r="K81" s="6"/>
      <c r="L81" s="6"/>
    </row>
    <row r="82" spans="1:12">
      <c r="A82" s="5"/>
      <c r="B82" s="5"/>
      <c r="C82" s="5"/>
      <c r="D82" s="5"/>
      <c r="E82" s="5"/>
      <c r="F82" s="5"/>
      <c r="G82" s="5"/>
      <c r="H82" s="5"/>
      <c r="I82" s="5"/>
      <c r="J82" s="6"/>
      <c r="K82" s="6"/>
      <c r="L82" s="6"/>
    </row>
    <row r="83" spans="1:12">
      <c r="A83" s="5"/>
      <c r="B83" s="5"/>
      <c r="C83" s="5"/>
      <c r="D83" s="5"/>
      <c r="E83" s="5"/>
      <c r="F83" s="5"/>
      <c r="G83" s="5"/>
      <c r="H83" s="5"/>
      <c r="I83" s="5"/>
      <c r="J83" s="6"/>
      <c r="K83" s="6"/>
      <c r="L83" s="6"/>
    </row>
    <row r="84" spans="1:12">
      <c r="A84" s="5"/>
      <c r="B84" s="5"/>
      <c r="C84" s="5"/>
      <c r="D84" s="5"/>
      <c r="E84" s="5"/>
      <c r="F84" s="5"/>
      <c r="G84" s="5"/>
      <c r="H84" s="5"/>
      <c r="I84" s="5"/>
      <c r="J84" s="6"/>
      <c r="K84" s="6"/>
      <c r="L84" s="6"/>
    </row>
    <row r="85" spans="1:12">
      <c r="A85" s="5"/>
      <c r="B85" s="5"/>
      <c r="C85" s="5"/>
      <c r="D85" s="5"/>
      <c r="E85" s="5"/>
      <c r="F85" s="5"/>
      <c r="G85" s="5"/>
      <c r="H85" s="5"/>
      <c r="I85" s="5"/>
      <c r="J85" s="6"/>
      <c r="K85" s="6"/>
      <c r="L85" s="6"/>
    </row>
    <row r="86" spans="1:12">
      <c r="A86" s="5"/>
      <c r="B86" s="5"/>
      <c r="C86" s="5"/>
      <c r="D86" s="5"/>
      <c r="E86" s="5"/>
      <c r="F86" s="5"/>
      <c r="G86" s="5"/>
      <c r="H86" s="5"/>
      <c r="I86" s="5"/>
      <c r="J86" s="6"/>
      <c r="K86" s="6"/>
      <c r="L86" s="6"/>
    </row>
    <row r="87" spans="1:12">
      <c r="A87" s="5"/>
      <c r="B87" s="5"/>
      <c r="C87" s="5"/>
      <c r="D87" s="5"/>
      <c r="E87" s="5"/>
      <c r="F87" s="5"/>
      <c r="G87" s="5"/>
      <c r="H87" s="5"/>
      <c r="I87" s="5"/>
      <c r="J87" s="6"/>
      <c r="K87" s="6"/>
      <c r="L87" s="6"/>
    </row>
    <row r="88" spans="1:12">
      <c r="A88" s="5"/>
      <c r="B88" s="5"/>
      <c r="C88" s="5"/>
      <c r="D88" s="5"/>
      <c r="E88" s="5"/>
      <c r="F88" s="5"/>
      <c r="G88" s="5"/>
      <c r="H88" s="5"/>
      <c r="I88" s="5"/>
      <c r="J88" s="6"/>
      <c r="K88" s="6"/>
      <c r="L88" s="6"/>
    </row>
    <row r="89" spans="1:12">
      <c r="A89" s="5"/>
      <c r="B89" s="5"/>
      <c r="C89" s="5"/>
      <c r="D89" s="5"/>
      <c r="E89" s="5"/>
      <c r="F89" s="5"/>
      <c r="G89" s="5"/>
      <c r="H89" s="5"/>
      <c r="I89" s="5"/>
      <c r="J89" s="6"/>
      <c r="K89" s="6"/>
      <c r="L89" s="6"/>
    </row>
    <row r="90" spans="1:12">
      <c r="A90" s="5"/>
      <c r="B90" s="5"/>
      <c r="C90" s="5"/>
      <c r="D90" s="5"/>
      <c r="E90" s="5"/>
      <c r="F90" s="5"/>
      <c r="G90" s="5"/>
      <c r="H90" s="5"/>
      <c r="I90" s="5"/>
      <c r="J90" s="6"/>
      <c r="K90" s="6"/>
      <c r="L90" s="6"/>
    </row>
    <row r="91" spans="1:12">
      <c r="A91" s="5"/>
      <c r="B91" s="5"/>
      <c r="C91" s="5"/>
      <c r="D91" s="5"/>
      <c r="E91" s="5"/>
      <c r="F91" s="5"/>
      <c r="G91" s="5"/>
      <c r="H91" s="5"/>
      <c r="I91" s="5"/>
      <c r="J91" s="6"/>
      <c r="K91" s="6"/>
      <c r="L91" s="6"/>
    </row>
    <row r="92" spans="1:12">
      <c r="A92" s="5"/>
      <c r="B92" s="5"/>
      <c r="C92" s="5"/>
      <c r="D92" s="5"/>
      <c r="E92" s="5"/>
      <c r="F92" s="5"/>
      <c r="G92" s="5"/>
      <c r="H92" s="5"/>
      <c r="I92" s="5"/>
      <c r="J92" s="6"/>
      <c r="K92" s="6"/>
      <c r="L92" s="6"/>
    </row>
    <row r="93" spans="1:12">
      <c r="A93" s="5"/>
      <c r="B93" s="5"/>
      <c r="C93" s="5"/>
      <c r="D93" s="5"/>
      <c r="E93" s="5"/>
      <c r="F93" s="5"/>
      <c r="G93" s="5"/>
      <c r="H93" s="5"/>
      <c r="I93" s="5"/>
      <c r="J93" s="6"/>
      <c r="K93" s="6"/>
      <c r="L93" s="6"/>
    </row>
    <row r="94" spans="1:12">
      <c r="A94" s="5"/>
      <c r="B94" s="5"/>
      <c r="C94" s="5"/>
      <c r="D94" s="5"/>
      <c r="E94" s="5"/>
      <c r="F94" s="5"/>
      <c r="G94" s="5"/>
      <c r="H94" s="5"/>
      <c r="I94" s="5"/>
      <c r="J94" s="6"/>
      <c r="K94" s="6"/>
      <c r="L94" s="6"/>
    </row>
    <row r="95" spans="1:12">
      <c r="A95" s="5"/>
      <c r="B95" s="5"/>
      <c r="C95" s="5"/>
      <c r="D95" s="5"/>
      <c r="E95" s="5"/>
      <c r="F95" s="5"/>
      <c r="G95" s="5"/>
      <c r="H95" s="5"/>
      <c r="I95" s="5"/>
      <c r="J95" s="6"/>
      <c r="K95" s="6"/>
      <c r="L95" s="6"/>
    </row>
    <row r="96" spans="1:12">
      <c r="A96" s="5"/>
      <c r="B96" s="5"/>
      <c r="C96" s="5"/>
      <c r="D96" s="5"/>
      <c r="E96" s="5"/>
      <c r="F96" s="5"/>
      <c r="G96" s="5"/>
      <c r="H96" s="5"/>
      <c r="I96" s="5"/>
      <c r="J96" s="6"/>
      <c r="K96" s="6"/>
      <c r="L96" s="6"/>
    </row>
    <row r="97" spans="1:12">
      <c r="A97" s="5"/>
      <c r="B97" s="5"/>
      <c r="C97" s="5"/>
      <c r="D97" s="5"/>
      <c r="E97" s="5"/>
      <c r="F97" s="5"/>
      <c r="G97" s="5"/>
      <c r="H97" s="5"/>
      <c r="I97" s="5"/>
      <c r="J97" s="6"/>
      <c r="K97" s="6"/>
      <c r="L97" s="6"/>
    </row>
    <row r="98" spans="1:12">
      <c r="A98" s="5"/>
      <c r="B98" s="5"/>
      <c r="C98" s="5"/>
      <c r="D98" s="5"/>
      <c r="E98" s="5"/>
      <c r="F98" s="5"/>
      <c r="G98" s="5"/>
      <c r="H98" s="5"/>
      <c r="I98" s="5"/>
      <c r="J98" s="6"/>
      <c r="K98" s="6"/>
      <c r="L98" s="6"/>
    </row>
    <row r="99" spans="1:12">
      <c r="A99" s="5"/>
      <c r="B99" s="5"/>
      <c r="C99" s="5"/>
      <c r="D99" s="5"/>
      <c r="E99" s="5"/>
      <c r="F99" s="5"/>
      <c r="G99" s="5"/>
      <c r="H99" s="5"/>
      <c r="I99" s="5"/>
      <c r="J99" s="6"/>
      <c r="K99" s="6"/>
      <c r="L99" s="6"/>
    </row>
  </sheetData>
  <conditionalFormatting sqref="H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F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0:D1048576 D2:D3 D5 D6:E12 D13:D14">
    <cfRule type="colorScale" priority="34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00:G1048576 H3 H5:H14">
    <cfRule type="colorScale" priority="37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:I12">
    <cfRule type="colorScale" priority="37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69930555555555596" right="0.69930555555555596" top="0.75" bottom="0.75" header="0.3" footer="0.3"/>
  <pageSetup orientation="portrait"/>
  <ignoredErrors>
    <ignoredError sqref="G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C113"/>
  <sheetViews>
    <sheetView tabSelected="1" zoomScale="110" zoomScaleNormal="110" workbookViewId="0">
      <pane xSplit="3" ySplit="1" topLeftCell="E2" activePane="bottomRight" state="frozen"/>
      <selection pane="topRight"/>
      <selection pane="bottomLeft"/>
      <selection pane="bottomRight" activeCell="N25" sqref="N25"/>
    </sheetView>
  </sheetViews>
  <sheetFormatPr baseColWidth="10" defaultColWidth="11.5" defaultRowHeight="15"/>
  <cols>
    <col min="1" max="1" width="27.33203125" style="31" customWidth="1"/>
    <col min="2" max="2" width="7.6640625" style="31" customWidth="1"/>
    <col min="3" max="3" width="17.83203125" style="31" customWidth="1"/>
    <col min="4" max="4" width="2" style="31" hidden="1" customWidth="1"/>
    <col min="5" max="5" width="7.83203125" style="79" customWidth="1"/>
    <col min="6" max="6" width="3.5" style="31" hidden="1" customWidth="1"/>
    <col min="7" max="7" width="8.33203125" style="31" customWidth="1"/>
    <col min="8" max="8" width="0.1640625" style="31" customWidth="1"/>
    <col min="9" max="9" width="11.83203125" style="31" customWidth="1"/>
    <col min="10" max="10" width="0.1640625" style="31" hidden="1" customWidth="1"/>
    <col min="11" max="11" width="0.33203125" style="31" hidden="1" customWidth="1"/>
    <col min="12" max="12" width="7.83203125" style="79" customWidth="1"/>
    <col min="13" max="13" width="3.5" style="31" hidden="1" customWidth="1"/>
    <col min="14" max="14" width="7.33203125" style="31" customWidth="1"/>
    <col min="15" max="15" width="0.1640625" style="31" customWidth="1"/>
    <col min="16" max="16" width="11.83203125" style="31" customWidth="1"/>
    <col min="17" max="17" width="11.5" style="31" hidden="1" customWidth="1"/>
    <col min="18" max="18" width="8.83203125" style="31" hidden="1" customWidth="1"/>
    <col min="19" max="19" width="7.83203125" style="79" customWidth="1"/>
    <col min="20" max="20" width="3.5" style="31" hidden="1" customWidth="1"/>
    <col min="21" max="21" width="7.33203125" style="31" customWidth="1"/>
    <col min="22" max="22" width="0.1640625" style="31" customWidth="1"/>
    <col min="23" max="23" width="11.83203125" style="31" customWidth="1"/>
    <col min="24" max="24" width="9.1640625" style="31" hidden="1" customWidth="1"/>
    <col min="25" max="25" width="5.33203125" style="31" hidden="1" customWidth="1"/>
    <col min="26" max="26" width="7.83203125" style="79" customWidth="1"/>
    <col min="27" max="27" width="3.5" style="31" hidden="1" customWidth="1"/>
    <col min="28" max="28" width="7.33203125" style="31" customWidth="1"/>
    <col min="29" max="29" width="0.1640625" style="31" customWidth="1"/>
    <col min="30" max="30" width="11.83203125" style="31" customWidth="1"/>
    <col min="31" max="31" width="4.6640625" style="31" hidden="1" customWidth="1"/>
    <col min="32" max="32" width="10.33203125" style="31" hidden="1" customWidth="1"/>
    <col min="33" max="33" width="7.83203125" style="79" customWidth="1"/>
    <col min="34" max="34" width="3.5" style="31" hidden="1" customWidth="1"/>
    <col min="35" max="35" width="7.33203125" style="31" customWidth="1"/>
    <col min="36" max="36" width="0.1640625" style="31" customWidth="1"/>
    <col min="37" max="37" width="11.83203125" style="31" customWidth="1"/>
    <col min="38" max="38" width="11.5" style="31" hidden="1" customWidth="1"/>
    <col min="39" max="39" width="4.83203125" style="31" hidden="1" customWidth="1"/>
    <col min="40" max="40" width="7.83203125" style="79" customWidth="1"/>
    <col min="41" max="41" width="3.5" style="31" hidden="1" customWidth="1"/>
    <col min="42" max="42" width="7.33203125" style="31" customWidth="1"/>
    <col min="43" max="43" width="0.1640625" style="31" customWidth="1"/>
    <col min="44" max="44" width="11.83203125" style="31" customWidth="1"/>
    <col min="45" max="45" width="3.83203125" style="31" hidden="1" customWidth="1"/>
    <col min="46" max="46" width="9.1640625" style="31" hidden="1" customWidth="1"/>
    <col min="47" max="47" width="7.83203125" style="79" customWidth="1"/>
    <col min="48" max="48" width="3.5" style="31" hidden="1" customWidth="1"/>
    <col min="49" max="49" width="7.33203125" style="31" customWidth="1"/>
    <col min="50" max="50" width="0.1640625" style="31" customWidth="1"/>
    <col min="51" max="51" width="11.83203125" style="31" customWidth="1"/>
    <col min="52" max="52" width="9.83203125" style="31" hidden="1" customWidth="1"/>
    <col min="53" max="53" width="18.33203125" style="31" customWidth="1"/>
    <col min="54" max="956" width="11.5" style="31"/>
    <col min="957" max="9956" width="12.5" style="31" customWidth="1"/>
    <col min="9957" max="16384" width="13.33203125" style="31" customWidth="1"/>
  </cols>
  <sheetData>
    <row r="1" spans="1:81" s="38" customFormat="1" ht="24">
      <c r="A1" s="30" t="s">
        <v>21</v>
      </c>
      <c r="B1" s="30" t="s">
        <v>22</v>
      </c>
      <c r="C1" s="75"/>
      <c r="D1" s="32"/>
      <c r="E1" s="79"/>
      <c r="F1" s="33"/>
      <c r="G1" s="34">
        <v>2</v>
      </c>
      <c r="H1" s="35"/>
      <c r="I1" s="35"/>
      <c r="J1" s="36"/>
      <c r="K1" s="33"/>
      <c r="L1" s="79"/>
      <c r="M1" s="33"/>
      <c r="N1" s="34" t="s">
        <v>23</v>
      </c>
      <c r="O1" s="35"/>
      <c r="P1" s="35"/>
      <c r="Q1" s="36"/>
      <c r="R1" s="33"/>
      <c r="S1" s="79"/>
      <c r="T1" s="33"/>
      <c r="U1" s="34" t="s">
        <v>24</v>
      </c>
      <c r="V1" s="35"/>
      <c r="W1" s="35"/>
      <c r="X1" s="36"/>
      <c r="Y1" s="33"/>
      <c r="Z1" s="79"/>
      <c r="AA1" s="33"/>
      <c r="AB1" s="34" t="s">
        <v>25</v>
      </c>
      <c r="AC1" s="35"/>
      <c r="AD1" s="35"/>
      <c r="AE1" s="36"/>
      <c r="AF1" s="33"/>
      <c r="AG1" s="79"/>
      <c r="AH1" s="33"/>
      <c r="AI1" s="34" t="s">
        <v>26</v>
      </c>
      <c r="AJ1" s="35"/>
      <c r="AK1" s="35"/>
      <c r="AL1" s="33"/>
      <c r="AM1" s="36"/>
      <c r="AN1" s="79"/>
      <c r="AO1" s="33"/>
      <c r="AP1" s="34" t="s">
        <v>27</v>
      </c>
      <c r="AQ1" s="35"/>
      <c r="AR1" s="35"/>
      <c r="AS1" s="33"/>
      <c r="AT1" s="36"/>
      <c r="AU1" s="79"/>
      <c r="AV1" s="33"/>
      <c r="AW1" s="34" t="s">
        <v>28</v>
      </c>
      <c r="AX1" s="35"/>
      <c r="AY1" s="35"/>
      <c r="AZ1" s="33"/>
      <c r="BA1" s="33"/>
      <c r="BB1" s="33"/>
      <c r="BC1" s="33"/>
      <c r="BD1" s="33"/>
      <c r="BE1" s="33"/>
      <c r="BF1" s="33"/>
      <c r="BG1" s="37"/>
    </row>
    <row r="2" spans="1:81" s="38" customFormat="1" ht="24">
      <c r="A2" s="39" t="s">
        <v>29</v>
      </c>
      <c r="B2" s="40">
        <v>0</v>
      </c>
      <c r="C2" s="76">
        <v>0</v>
      </c>
      <c r="D2" s="41">
        <f t="shared" ref="D2:D66" si="0">IF(F3=1,ROW(F2),0)</f>
        <v>0</v>
      </c>
      <c r="E2" s="86">
        <f>F2/4</f>
        <v>1.75</v>
      </c>
      <c r="F2" s="41">
        <f>IF(G2=AW97,AV97+1,1)</f>
        <v>7</v>
      </c>
      <c r="G2" s="42"/>
      <c r="H2" s="43" t="str">
        <f t="shared" ref="H2:H33" si="1">LOOKUP(G2,index,indexname)</f>
        <v>Null</v>
      </c>
      <c r="I2" s="43"/>
      <c r="J2" s="43" t="str">
        <f>IF(I2="",H2,I2)</f>
        <v>Null</v>
      </c>
      <c r="K2" s="41">
        <f t="shared" ref="K2:K66" si="2">IF(M3=1,ROW(M2),0)</f>
        <v>0</v>
      </c>
      <c r="L2" s="80">
        <f>M2/4</f>
        <v>1.75</v>
      </c>
      <c r="M2" s="41">
        <f>IF(N2=G97,F97+1,1)</f>
        <v>7</v>
      </c>
      <c r="N2" s="42"/>
      <c r="O2" s="43" t="str">
        <f t="shared" ref="O2:O62" si="3">LOOKUP(N2,index,indexname)</f>
        <v>Null</v>
      </c>
      <c r="P2" s="43"/>
      <c r="Q2" s="43" t="str">
        <f>IF(P2="",O2,P2)</f>
        <v>Null</v>
      </c>
      <c r="R2" s="41">
        <f t="shared" ref="R2:R66" si="4">IF(T3=1,ROW(T2),0)</f>
        <v>0</v>
      </c>
      <c r="S2" s="80">
        <f>T2/4</f>
        <v>1.75</v>
      </c>
      <c r="T2" s="41">
        <f>IF(U2=N97,M97+1,1)</f>
        <v>7</v>
      </c>
      <c r="U2" s="42"/>
      <c r="V2" s="43" t="str">
        <f t="shared" ref="V2:V65" si="5">LOOKUP(U2,index,indexname)</f>
        <v>Null</v>
      </c>
      <c r="W2" s="43"/>
      <c r="X2" s="43" t="str">
        <f>IF(W2="",V2,W2)</f>
        <v>Null</v>
      </c>
      <c r="Y2" s="41">
        <f t="shared" ref="Y2:Y66" si="6">IF(AA3=1,ROW(AA2),0)</f>
        <v>0</v>
      </c>
      <c r="Z2" s="80">
        <f>AA2/4</f>
        <v>1.75</v>
      </c>
      <c r="AA2" s="41">
        <f>IF(AB2=U97,T97+1,1)</f>
        <v>7</v>
      </c>
      <c r="AB2" s="42"/>
      <c r="AC2" s="43" t="str">
        <f t="shared" ref="AC2:AC65" si="7">LOOKUP(AB2,index,indexname)</f>
        <v>Null</v>
      </c>
      <c r="AD2" s="43"/>
      <c r="AE2" s="43" t="str">
        <f>IF(AD2="",AC2,AD2)</f>
        <v>Null</v>
      </c>
      <c r="AF2" s="41">
        <f t="shared" ref="AF2:AF66" si="8">IF(AH3=1,ROW(AH2),0)</f>
        <v>0</v>
      </c>
      <c r="AG2" s="80">
        <f>AH2/4</f>
        <v>1.75</v>
      </c>
      <c r="AH2" s="41">
        <f>IF(AI2=AB97,AA97+1,1)</f>
        <v>7</v>
      </c>
      <c r="AI2" s="42"/>
      <c r="AJ2" s="43" t="str">
        <f t="shared" ref="AJ2:AJ65" si="9">LOOKUP(AI2,index,indexname)</f>
        <v>Null</v>
      </c>
      <c r="AK2" s="43"/>
      <c r="AL2" s="43" t="str">
        <f t="shared" ref="AL2:AL33" si="10">IF(AK2="",AJ2,AK2)</f>
        <v>Null</v>
      </c>
      <c r="AM2" s="41">
        <f t="shared" ref="AM2:AM66" si="11">IF(AO3=1,ROW(AO2),0)</f>
        <v>0</v>
      </c>
      <c r="AN2" s="80">
        <f>AO2/4</f>
        <v>1.75</v>
      </c>
      <c r="AO2" s="41">
        <f>IF(AP2=AI97,AH97+1,1)</f>
        <v>7</v>
      </c>
      <c r="AP2" s="42"/>
      <c r="AQ2" s="43" t="str">
        <f t="shared" ref="AQ2:AQ65" si="12">LOOKUP(AP2,index,indexname)</f>
        <v>Null</v>
      </c>
      <c r="AR2" s="43"/>
      <c r="AS2" s="43" t="str">
        <f>IF(AR2="",AQ2,AR2)</f>
        <v>Null</v>
      </c>
      <c r="AT2" s="41">
        <f t="shared" ref="AT2:AT66" si="13">IF(AV3=1,ROW(AV2),0)</f>
        <v>0</v>
      </c>
      <c r="AU2" s="80">
        <f>AV2/4</f>
        <v>1.75</v>
      </c>
      <c r="AV2" s="41">
        <f>IF(AW2=AP97,AO97+1,1)</f>
        <v>7</v>
      </c>
      <c r="AW2" s="42"/>
      <c r="AX2" s="43" t="str">
        <f t="shared" ref="AX2:AX65" si="14">LOOKUP(AW2,index,indexname)</f>
        <v>Null</v>
      </c>
      <c r="AY2" s="43"/>
      <c r="AZ2" s="43" t="str">
        <f>IF(AY2="",AX2,AY2)</f>
        <v>Null</v>
      </c>
      <c r="BA2" s="44">
        <f t="shared" ref="BA2:BA33" si="15">D2</f>
        <v>0</v>
      </c>
      <c r="BB2" s="44">
        <f t="shared" ref="BB2:BB33" si="16">E2</f>
        <v>1.75</v>
      </c>
      <c r="BC2" s="44">
        <f t="shared" ref="BC2:BC33" si="17">F2</f>
        <v>7</v>
      </c>
      <c r="BD2" s="44">
        <f t="shared" ref="BD2:BD33" si="18">G2</f>
        <v>0</v>
      </c>
      <c r="BE2" s="45" t="str">
        <f t="shared" ref="BE2:BE33" si="19">H2</f>
        <v>Null</v>
      </c>
      <c r="BF2" s="45">
        <f t="shared" ref="BF2:BF33" si="20">I2</f>
        <v>0</v>
      </c>
      <c r="BG2" s="46" t="str">
        <f t="shared" ref="BG2:BG33" si="21">J2</f>
        <v>Null</v>
      </c>
      <c r="BK2" s="38" t="s">
        <v>30</v>
      </c>
    </row>
    <row r="3" spans="1:81" s="38" customFormat="1" ht="24">
      <c r="A3" s="87" t="s">
        <v>14</v>
      </c>
      <c r="B3" s="88"/>
      <c r="C3" s="77">
        <v>1.0416666666666701E-2</v>
      </c>
      <c r="D3" s="48">
        <f t="shared" si="0"/>
        <v>0</v>
      </c>
      <c r="E3" s="83">
        <f t="shared" ref="E3:E66" si="22">F3/4</f>
        <v>2</v>
      </c>
      <c r="F3" s="48">
        <f t="shared" ref="F3:F66" si="23">IF(G3=G2,F2+1,1)</f>
        <v>8</v>
      </c>
      <c r="G3" s="49"/>
      <c r="H3" s="50" t="str">
        <f t="shared" si="1"/>
        <v>Null</v>
      </c>
      <c r="I3" s="50"/>
      <c r="J3" s="50" t="str">
        <f t="shared" ref="J3:J66" si="24">IF(I3="",H3,I3)</f>
        <v>Null</v>
      </c>
      <c r="K3" s="48">
        <f t="shared" si="2"/>
        <v>0</v>
      </c>
      <c r="L3" s="81">
        <f t="shared" ref="L3:L66" si="25">M3/4</f>
        <v>2</v>
      </c>
      <c r="M3" s="48">
        <f>IF(N3=N2,M2+1,1)</f>
        <v>8</v>
      </c>
      <c r="N3" s="49"/>
      <c r="O3" s="50" t="str">
        <f t="shared" si="3"/>
        <v>Null</v>
      </c>
      <c r="P3" s="50"/>
      <c r="Q3" s="50" t="str">
        <f t="shared" ref="Q3:Q66" si="26">IF(P3="",O3,P3)</f>
        <v>Null</v>
      </c>
      <c r="R3" s="48">
        <f t="shared" si="4"/>
        <v>0</v>
      </c>
      <c r="S3" s="81">
        <f t="shared" ref="S3:S66" si="27">T3/4</f>
        <v>2</v>
      </c>
      <c r="T3" s="48">
        <f>IF(U3=U2,T2+1,1)</f>
        <v>8</v>
      </c>
      <c r="U3" s="49"/>
      <c r="V3" s="50" t="str">
        <f t="shared" si="5"/>
        <v>Null</v>
      </c>
      <c r="W3" s="50"/>
      <c r="X3" s="50" t="str">
        <f t="shared" ref="X3:X66" si="28">IF(W3="",V3,W3)</f>
        <v>Null</v>
      </c>
      <c r="Y3" s="48">
        <f t="shared" si="6"/>
        <v>0</v>
      </c>
      <c r="Z3" s="81">
        <f t="shared" ref="Z3:Z66" si="29">AA3/4</f>
        <v>2</v>
      </c>
      <c r="AA3" s="48">
        <f>IF(AB3=AB2,AA2+1,1)</f>
        <v>8</v>
      </c>
      <c r="AB3" s="49"/>
      <c r="AC3" s="50" t="str">
        <f t="shared" si="7"/>
        <v>Null</v>
      </c>
      <c r="AD3" s="50"/>
      <c r="AE3" s="50" t="str">
        <f t="shared" ref="AE3:AE66" si="30">IF(AD3="",AC3,AD3)</f>
        <v>Null</v>
      </c>
      <c r="AF3" s="48">
        <f t="shared" si="8"/>
        <v>0</v>
      </c>
      <c r="AG3" s="81">
        <f t="shared" ref="AG3:AG66" si="31">AH3/4</f>
        <v>2</v>
      </c>
      <c r="AH3" s="48">
        <f>IF(AI3=AI2,AH2+1,1)</f>
        <v>8</v>
      </c>
      <c r="AI3" s="49"/>
      <c r="AJ3" s="50" t="str">
        <f t="shared" si="9"/>
        <v>Null</v>
      </c>
      <c r="AK3" s="50"/>
      <c r="AL3" s="50" t="str">
        <f t="shared" si="10"/>
        <v>Null</v>
      </c>
      <c r="AM3" s="48">
        <f t="shared" si="11"/>
        <v>0</v>
      </c>
      <c r="AN3" s="81">
        <f t="shared" ref="AN3:AN66" si="32">AO3/4</f>
        <v>2</v>
      </c>
      <c r="AO3" s="48">
        <f>IF(AP3=AP2,AO2+1,1)</f>
        <v>8</v>
      </c>
      <c r="AP3" s="49"/>
      <c r="AQ3" s="50" t="str">
        <f t="shared" si="12"/>
        <v>Null</v>
      </c>
      <c r="AR3" s="50"/>
      <c r="AS3" s="50" t="str">
        <f t="shared" ref="AS3:AS66" si="33">IF(AR3="",AQ3,AR3)</f>
        <v>Null</v>
      </c>
      <c r="AT3" s="48">
        <f t="shared" si="13"/>
        <v>0</v>
      </c>
      <c r="AU3" s="81">
        <f t="shared" ref="AU3:AU66" si="34">AV3/4</f>
        <v>2</v>
      </c>
      <c r="AV3" s="48">
        <f>IF(AW3=AW2,AV2+1,1)</f>
        <v>8</v>
      </c>
      <c r="AW3" s="49"/>
      <c r="AX3" s="50" t="str">
        <f t="shared" si="14"/>
        <v>Null</v>
      </c>
      <c r="AY3" s="50"/>
      <c r="AZ3" s="50" t="str">
        <f t="shared" ref="AZ3:AZ66" si="35">IF(AY3="",AX3,AY3)</f>
        <v>Null</v>
      </c>
      <c r="BA3" s="44">
        <f t="shared" si="15"/>
        <v>0</v>
      </c>
      <c r="BB3" s="44">
        <f t="shared" si="16"/>
        <v>2</v>
      </c>
      <c r="BC3" s="44">
        <f t="shared" si="17"/>
        <v>8</v>
      </c>
      <c r="BD3" s="44">
        <f t="shared" si="18"/>
        <v>0</v>
      </c>
      <c r="BE3" s="45" t="str">
        <f t="shared" si="19"/>
        <v>Null</v>
      </c>
      <c r="BF3" s="45">
        <f t="shared" si="20"/>
        <v>0</v>
      </c>
      <c r="BG3" s="46" t="str">
        <f t="shared" si="21"/>
        <v>Null</v>
      </c>
      <c r="BK3" s="38" t="s">
        <v>31</v>
      </c>
      <c r="BL3" s="38">
        <v>1</v>
      </c>
      <c r="BM3" s="38">
        <v>2</v>
      </c>
    </row>
    <row r="4" spans="1:81" s="38" customFormat="1" ht="24">
      <c r="A4" s="39" t="s">
        <v>32</v>
      </c>
      <c r="B4" s="40">
        <v>1</v>
      </c>
      <c r="C4" s="78">
        <v>2.0833333333333301E-2</v>
      </c>
      <c r="D4" s="41">
        <f t="shared" si="0"/>
        <v>0</v>
      </c>
      <c r="E4" s="86">
        <f t="shared" si="22"/>
        <v>2.25</v>
      </c>
      <c r="F4" s="41">
        <f t="shared" si="23"/>
        <v>9</v>
      </c>
      <c r="G4" s="42"/>
      <c r="H4" s="43" t="str">
        <f t="shared" si="1"/>
        <v>Null</v>
      </c>
      <c r="I4" s="43"/>
      <c r="J4" s="43" t="str">
        <f t="shared" si="24"/>
        <v>Null</v>
      </c>
      <c r="K4" s="41">
        <f t="shared" si="2"/>
        <v>0</v>
      </c>
      <c r="L4" s="80">
        <f t="shared" si="25"/>
        <v>2.25</v>
      </c>
      <c r="M4" s="41">
        <f t="shared" ref="M4:M67" si="36">IF(N4=N3,M3+1,1)</f>
        <v>9</v>
      </c>
      <c r="N4" s="42"/>
      <c r="O4" s="43" t="str">
        <f t="shared" si="3"/>
        <v>Null</v>
      </c>
      <c r="P4" s="43"/>
      <c r="Q4" s="43" t="str">
        <f t="shared" si="26"/>
        <v>Null</v>
      </c>
      <c r="R4" s="41">
        <f t="shared" si="4"/>
        <v>0</v>
      </c>
      <c r="S4" s="80">
        <f t="shared" si="27"/>
        <v>2.25</v>
      </c>
      <c r="T4" s="41">
        <f t="shared" ref="T4:T67" si="37">IF(U4=U3,T3+1,1)</f>
        <v>9</v>
      </c>
      <c r="U4" s="42"/>
      <c r="V4" s="43" t="str">
        <f t="shared" si="5"/>
        <v>Null</v>
      </c>
      <c r="W4" s="43"/>
      <c r="X4" s="43" t="str">
        <f t="shared" si="28"/>
        <v>Null</v>
      </c>
      <c r="Y4" s="41">
        <f t="shared" si="6"/>
        <v>0</v>
      </c>
      <c r="Z4" s="80">
        <f t="shared" si="29"/>
        <v>2.25</v>
      </c>
      <c r="AA4" s="41">
        <f t="shared" ref="AA4:AA67" si="38">IF(AB4=AB3,AA3+1,1)</f>
        <v>9</v>
      </c>
      <c r="AB4" s="42"/>
      <c r="AC4" s="43" t="str">
        <f t="shared" si="7"/>
        <v>Null</v>
      </c>
      <c r="AD4" s="43"/>
      <c r="AE4" s="43" t="str">
        <f t="shared" si="30"/>
        <v>Null</v>
      </c>
      <c r="AF4" s="41">
        <f t="shared" si="8"/>
        <v>0</v>
      </c>
      <c r="AG4" s="80">
        <f t="shared" si="31"/>
        <v>2.25</v>
      </c>
      <c r="AH4" s="41">
        <f t="shared" ref="AH4:AH67" si="39">IF(AI4=AI3,AH3+1,1)</f>
        <v>9</v>
      </c>
      <c r="AI4" s="42"/>
      <c r="AJ4" s="43" t="str">
        <f t="shared" si="9"/>
        <v>Null</v>
      </c>
      <c r="AK4" s="43"/>
      <c r="AL4" s="43" t="str">
        <f t="shared" si="10"/>
        <v>Null</v>
      </c>
      <c r="AM4" s="41">
        <f t="shared" si="11"/>
        <v>0</v>
      </c>
      <c r="AN4" s="80">
        <f t="shared" si="32"/>
        <v>2.25</v>
      </c>
      <c r="AO4" s="41">
        <f t="shared" ref="AO4:AO67" si="40">IF(AP4=AP3,AO3+1,1)</f>
        <v>9</v>
      </c>
      <c r="AP4" s="42"/>
      <c r="AQ4" s="43" t="str">
        <f t="shared" si="12"/>
        <v>Null</v>
      </c>
      <c r="AR4" s="43"/>
      <c r="AS4" s="43" t="str">
        <f t="shared" si="33"/>
        <v>Null</v>
      </c>
      <c r="AT4" s="41">
        <f t="shared" si="13"/>
        <v>0</v>
      </c>
      <c r="AU4" s="80">
        <f t="shared" si="34"/>
        <v>2.25</v>
      </c>
      <c r="AV4" s="41">
        <f t="shared" ref="AV4:AV67" si="41">IF(AW4=AW3,AV3+1,1)</f>
        <v>9</v>
      </c>
      <c r="AW4" s="42"/>
      <c r="AX4" s="43" t="str">
        <f t="shared" si="14"/>
        <v>Null</v>
      </c>
      <c r="AY4" s="43"/>
      <c r="AZ4" s="43" t="str">
        <f t="shared" si="35"/>
        <v>Null</v>
      </c>
      <c r="BA4" s="44">
        <f t="shared" si="15"/>
        <v>0</v>
      </c>
      <c r="BB4" s="44">
        <f t="shared" si="16"/>
        <v>2.25</v>
      </c>
      <c r="BC4" s="44">
        <f t="shared" si="17"/>
        <v>9</v>
      </c>
      <c r="BD4" s="44">
        <f t="shared" si="18"/>
        <v>0</v>
      </c>
      <c r="BE4" s="45" t="str">
        <f t="shared" si="19"/>
        <v>Null</v>
      </c>
      <c r="BF4" s="45">
        <f t="shared" si="20"/>
        <v>0</v>
      </c>
      <c r="BG4" s="46" t="str">
        <f t="shared" si="21"/>
        <v>Null</v>
      </c>
      <c r="BK4" s="38" t="s">
        <v>33</v>
      </c>
      <c r="BL4" s="38">
        <v>12</v>
      </c>
      <c r="BM4" s="38">
        <v>13</v>
      </c>
      <c r="BN4" s="38">
        <v>14</v>
      </c>
      <c r="BO4" s="38">
        <v>15</v>
      </c>
      <c r="BP4" s="38">
        <v>16</v>
      </c>
      <c r="BQ4" s="38">
        <v>17</v>
      </c>
      <c r="BR4" s="38">
        <v>18</v>
      </c>
      <c r="BS4" s="38">
        <v>19</v>
      </c>
      <c r="BT4" s="38">
        <v>20</v>
      </c>
      <c r="BU4" s="38">
        <v>21</v>
      </c>
      <c r="BV4" s="38">
        <v>22</v>
      </c>
      <c r="BW4" s="38">
        <v>23</v>
      </c>
      <c r="BX4" s="38">
        <v>24</v>
      </c>
      <c r="BY4" s="38">
        <v>25</v>
      </c>
      <c r="BZ4" s="38">
        <v>26</v>
      </c>
      <c r="CA4" s="38">
        <v>27</v>
      </c>
      <c r="CB4" s="38">
        <v>28</v>
      </c>
      <c r="CC4" s="38">
        <v>29</v>
      </c>
    </row>
    <row r="5" spans="1:81" s="38" customFormat="1" ht="24">
      <c r="A5" s="52" t="s">
        <v>34</v>
      </c>
      <c r="B5" s="53">
        <v>2</v>
      </c>
      <c r="C5" s="47">
        <v>3.125E-2</v>
      </c>
      <c r="D5" s="48">
        <f t="shared" si="0"/>
        <v>0</v>
      </c>
      <c r="E5" s="83">
        <f t="shared" si="22"/>
        <v>2.5</v>
      </c>
      <c r="F5" s="48">
        <f t="shared" si="23"/>
        <v>10</v>
      </c>
      <c r="G5" s="49"/>
      <c r="H5" s="50" t="str">
        <f t="shared" ref="H5:H17" si="42">LOOKUP(G5,index,indexname)</f>
        <v>Null</v>
      </c>
      <c r="I5" s="50"/>
      <c r="J5" s="50" t="str">
        <f t="shared" si="24"/>
        <v>Null</v>
      </c>
      <c r="K5" s="48">
        <f t="shared" si="2"/>
        <v>0</v>
      </c>
      <c r="L5" s="81">
        <f t="shared" si="25"/>
        <v>2.5</v>
      </c>
      <c r="M5" s="48">
        <f t="shared" si="36"/>
        <v>10</v>
      </c>
      <c r="N5" s="49"/>
      <c r="O5" s="50" t="str">
        <f t="shared" si="3"/>
        <v>Null</v>
      </c>
      <c r="P5" s="50"/>
      <c r="Q5" s="50" t="str">
        <f t="shared" si="26"/>
        <v>Null</v>
      </c>
      <c r="R5" s="48">
        <f t="shared" si="4"/>
        <v>0</v>
      </c>
      <c r="S5" s="81">
        <f t="shared" si="27"/>
        <v>2.5</v>
      </c>
      <c r="T5" s="48">
        <f t="shared" si="37"/>
        <v>10</v>
      </c>
      <c r="U5" s="49"/>
      <c r="V5" s="50" t="str">
        <f t="shared" si="5"/>
        <v>Null</v>
      </c>
      <c r="W5" s="50"/>
      <c r="X5" s="50" t="str">
        <f t="shared" si="28"/>
        <v>Null</v>
      </c>
      <c r="Y5" s="48">
        <f t="shared" si="6"/>
        <v>0</v>
      </c>
      <c r="Z5" s="81">
        <f t="shared" si="29"/>
        <v>2.5</v>
      </c>
      <c r="AA5" s="48">
        <f t="shared" si="38"/>
        <v>10</v>
      </c>
      <c r="AB5" s="49"/>
      <c r="AC5" s="50" t="str">
        <f t="shared" si="7"/>
        <v>Null</v>
      </c>
      <c r="AD5" s="50"/>
      <c r="AE5" s="50" t="str">
        <f t="shared" si="30"/>
        <v>Null</v>
      </c>
      <c r="AF5" s="48">
        <f t="shared" si="8"/>
        <v>0</v>
      </c>
      <c r="AG5" s="81">
        <f t="shared" si="31"/>
        <v>2.5</v>
      </c>
      <c r="AH5" s="48">
        <f t="shared" si="39"/>
        <v>10</v>
      </c>
      <c r="AI5" s="49"/>
      <c r="AJ5" s="50" t="str">
        <f t="shared" si="9"/>
        <v>Null</v>
      </c>
      <c r="AK5" s="50"/>
      <c r="AL5" s="50" t="str">
        <f t="shared" si="10"/>
        <v>Null</v>
      </c>
      <c r="AM5" s="48">
        <f t="shared" si="11"/>
        <v>0</v>
      </c>
      <c r="AN5" s="81">
        <f t="shared" si="32"/>
        <v>2.5</v>
      </c>
      <c r="AO5" s="48">
        <f t="shared" si="40"/>
        <v>10</v>
      </c>
      <c r="AP5" s="49"/>
      <c r="AQ5" s="50" t="str">
        <f t="shared" si="12"/>
        <v>Null</v>
      </c>
      <c r="AR5" s="50"/>
      <c r="AS5" s="50" t="str">
        <f t="shared" si="33"/>
        <v>Null</v>
      </c>
      <c r="AT5" s="48">
        <f t="shared" si="13"/>
        <v>0</v>
      </c>
      <c r="AU5" s="81">
        <f t="shared" si="34"/>
        <v>2.5</v>
      </c>
      <c r="AV5" s="48">
        <f t="shared" si="41"/>
        <v>10</v>
      </c>
      <c r="AW5" s="49"/>
      <c r="AX5" s="50" t="str">
        <f t="shared" si="14"/>
        <v>Null</v>
      </c>
      <c r="AY5" s="50"/>
      <c r="AZ5" s="50" t="str">
        <f t="shared" si="35"/>
        <v>Null</v>
      </c>
      <c r="BA5" s="44">
        <f t="shared" si="15"/>
        <v>0</v>
      </c>
      <c r="BB5" s="44">
        <f t="shared" si="16"/>
        <v>2.5</v>
      </c>
      <c r="BC5" s="44">
        <f t="shared" si="17"/>
        <v>10</v>
      </c>
      <c r="BD5" s="44">
        <f t="shared" si="18"/>
        <v>0</v>
      </c>
      <c r="BE5" s="45" t="str">
        <f t="shared" si="19"/>
        <v>Null</v>
      </c>
      <c r="BF5" s="45">
        <f t="shared" si="20"/>
        <v>0</v>
      </c>
      <c r="BG5" s="46" t="str">
        <f t="shared" si="21"/>
        <v>Null</v>
      </c>
      <c r="BK5" s="38" t="s">
        <v>35</v>
      </c>
      <c r="BL5" s="38">
        <v>30</v>
      </c>
      <c r="BM5" s="38">
        <v>31</v>
      </c>
      <c r="BN5" s="38">
        <v>32</v>
      </c>
      <c r="BO5" s="38">
        <v>33</v>
      </c>
      <c r="BP5" s="38">
        <v>34</v>
      </c>
      <c r="BQ5" s="38">
        <v>35</v>
      </c>
      <c r="BR5" s="38">
        <v>36</v>
      </c>
      <c r="BS5" s="38">
        <v>37</v>
      </c>
    </row>
    <row r="6" spans="1:81" s="38" customFormat="1" ht="24">
      <c r="A6" s="39" t="s">
        <v>102</v>
      </c>
      <c r="B6" s="40">
        <v>3</v>
      </c>
      <c r="C6" s="51">
        <v>4.1666666666666699E-2</v>
      </c>
      <c r="D6" s="41">
        <f t="shared" si="0"/>
        <v>0</v>
      </c>
      <c r="E6" s="86">
        <f t="shared" si="22"/>
        <v>2.75</v>
      </c>
      <c r="F6" s="41">
        <f t="shared" si="23"/>
        <v>11</v>
      </c>
      <c r="G6" s="42"/>
      <c r="H6" s="43" t="str">
        <f t="shared" si="42"/>
        <v>Null</v>
      </c>
      <c r="I6" s="43"/>
      <c r="J6" s="43" t="str">
        <f t="shared" si="24"/>
        <v>Null</v>
      </c>
      <c r="K6" s="41">
        <f t="shared" si="2"/>
        <v>0</v>
      </c>
      <c r="L6" s="80">
        <f t="shared" si="25"/>
        <v>2.75</v>
      </c>
      <c r="M6" s="41">
        <f t="shared" si="36"/>
        <v>11</v>
      </c>
      <c r="N6" s="42"/>
      <c r="O6" s="43" t="str">
        <f t="shared" si="3"/>
        <v>Null</v>
      </c>
      <c r="P6" s="43"/>
      <c r="Q6" s="43" t="str">
        <f t="shared" si="26"/>
        <v>Null</v>
      </c>
      <c r="R6" s="41">
        <f t="shared" si="4"/>
        <v>0</v>
      </c>
      <c r="S6" s="80">
        <f t="shared" si="27"/>
        <v>2.75</v>
      </c>
      <c r="T6" s="41">
        <f t="shared" si="37"/>
        <v>11</v>
      </c>
      <c r="U6" s="42"/>
      <c r="V6" s="43" t="str">
        <f t="shared" si="5"/>
        <v>Null</v>
      </c>
      <c r="W6" s="43"/>
      <c r="X6" s="43" t="str">
        <f t="shared" si="28"/>
        <v>Null</v>
      </c>
      <c r="Y6" s="41">
        <f t="shared" si="6"/>
        <v>0</v>
      </c>
      <c r="Z6" s="80">
        <f t="shared" si="29"/>
        <v>2.75</v>
      </c>
      <c r="AA6" s="41">
        <f t="shared" si="38"/>
        <v>11</v>
      </c>
      <c r="AB6" s="42"/>
      <c r="AC6" s="43" t="str">
        <f t="shared" si="7"/>
        <v>Null</v>
      </c>
      <c r="AD6" s="43"/>
      <c r="AE6" s="43" t="str">
        <f t="shared" si="30"/>
        <v>Null</v>
      </c>
      <c r="AF6" s="41">
        <f t="shared" si="8"/>
        <v>0</v>
      </c>
      <c r="AG6" s="80">
        <f t="shared" si="31"/>
        <v>2.75</v>
      </c>
      <c r="AH6" s="41">
        <f t="shared" si="39"/>
        <v>11</v>
      </c>
      <c r="AI6" s="42"/>
      <c r="AJ6" s="43" t="str">
        <f t="shared" si="9"/>
        <v>Null</v>
      </c>
      <c r="AK6" s="43"/>
      <c r="AL6" s="43" t="str">
        <f t="shared" si="10"/>
        <v>Null</v>
      </c>
      <c r="AM6" s="41">
        <f t="shared" si="11"/>
        <v>0</v>
      </c>
      <c r="AN6" s="80">
        <f t="shared" si="32"/>
        <v>2.75</v>
      </c>
      <c r="AO6" s="41">
        <f t="shared" si="40"/>
        <v>11</v>
      </c>
      <c r="AP6" s="42"/>
      <c r="AQ6" s="43" t="str">
        <f t="shared" si="12"/>
        <v>Null</v>
      </c>
      <c r="AR6" s="43"/>
      <c r="AS6" s="43" t="str">
        <f t="shared" si="33"/>
        <v>Null</v>
      </c>
      <c r="AT6" s="41">
        <f t="shared" si="13"/>
        <v>0</v>
      </c>
      <c r="AU6" s="80">
        <f t="shared" si="34"/>
        <v>2.75</v>
      </c>
      <c r="AV6" s="41">
        <f t="shared" si="41"/>
        <v>11</v>
      </c>
      <c r="AW6" s="42"/>
      <c r="AX6" s="43" t="str">
        <f t="shared" si="14"/>
        <v>Null</v>
      </c>
      <c r="AY6" s="43"/>
      <c r="AZ6" s="43" t="str">
        <f t="shared" si="35"/>
        <v>Null</v>
      </c>
      <c r="BA6" s="44">
        <f t="shared" si="15"/>
        <v>0</v>
      </c>
      <c r="BB6" s="44">
        <f t="shared" si="16"/>
        <v>2.75</v>
      </c>
      <c r="BC6" s="44">
        <f t="shared" si="17"/>
        <v>11</v>
      </c>
      <c r="BD6" s="44">
        <f t="shared" si="18"/>
        <v>0</v>
      </c>
      <c r="BE6" s="45" t="str">
        <f t="shared" si="19"/>
        <v>Null</v>
      </c>
      <c r="BF6" s="45">
        <f t="shared" si="20"/>
        <v>0</v>
      </c>
      <c r="BG6" s="46" t="str">
        <f t="shared" si="21"/>
        <v>Null</v>
      </c>
      <c r="BK6" s="38" t="s">
        <v>36</v>
      </c>
      <c r="BL6" s="38">
        <v>33</v>
      </c>
      <c r="BM6" s="38">
        <v>35</v>
      </c>
    </row>
    <row r="7" spans="1:81" s="38" customFormat="1" ht="24">
      <c r="A7" s="52"/>
      <c r="B7" s="53">
        <v>4</v>
      </c>
      <c r="C7" s="47">
        <v>5.2083333333333301E-2</v>
      </c>
      <c r="D7" s="48">
        <f t="shared" si="0"/>
        <v>0</v>
      </c>
      <c r="E7" s="83">
        <f t="shared" si="22"/>
        <v>3</v>
      </c>
      <c r="F7" s="48">
        <f t="shared" si="23"/>
        <v>12</v>
      </c>
      <c r="G7" s="49"/>
      <c r="H7" s="50" t="str">
        <f t="shared" si="42"/>
        <v>Null</v>
      </c>
      <c r="I7" s="50"/>
      <c r="J7" s="50" t="str">
        <f t="shared" si="24"/>
        <v>Null</v>
      </c>
      <c r="K7" s="48">
        <f t="shared" si="2"/>
        <v>0</v>
      </c>
      <c r="L7" s="81">
        <f t="shared" si="25"/>
        <v>3</v>
      </c>
      <c r="M7" s="48">
        <f t="shared" si="36"/>
        <v>12</v>
      </c>
      <c r="N7" s="49"/>
      <c r="O7" s="50" t="str">
        <f t="shared" si="3"/>
        <v>Null</v>
      </c>
      <c r="P7" s="50"/>
      <c r="Q7" s="50" t="str">
        <f t="shared" si="26"/>
        <v>Null</v>
      </c>
      <c r="R7" s="48">
        <f t="shared" si="4"/>
        <v>0</v>
      </c>
      <c r="S7" s="81">
        <f t="shared" si="27"/>
        <v>3</v>
      </c>
      <c r="T7" s="48">
        <f t="shared" si="37"/>
        <v>12</v>
      </c>
      <c r="U7" s="49"/>
      <c r="V7" s="50" t="str">
        <f t="shared" si="5"/>
        <v>Null</v>
      </c>
      <c r="W7" s="50"/>
      <c r="X7" s="50" t="str">
        <f t="shared" si="28"/>
        <v>Null</v>
      </c>
      <c r="Y7" s="48">
        <f t="shared" si="6"/>
        <v>0</v>
      </c>
      <c r="Z7" s="81">
        <f t="shared" si="29"/>
        <v>3</v>
      </c>
      <c r="AA7" s="48">
        <f t="shared" si="38"/>
        <v>12</v>
      </c>
      <c r="AB7" s="49"/>
      <c r="AC7" s="50" t="str">
        <f t="shared" si="7"/>
        <v>Null</v>
      </c>
      <c r="AD7" s="50"/>
      <c r="AE7" s="50" t="str">
        <f t="shared" si="30"/>
        <v>Null</v>
      </c>
      <c r="AF7" s="48">
        <f t="shared" si="8"/>
        <v>0</v>
      </c>
      <c r="AG7" s="81">
        <f t="shared" si="31"/>
        <v>3</v>
      </c>
      <c r="AH7" s="48">
        <f t="shared" si="39"/>
        <v>12</v>
      </c>
      <c r="AI7" s="49"/>
      <c r="AJ7" s="50" t="str">
        <f t="shared" si="9"/>
        <v>Null</v>
      </c>
      <c r="AK7" s="50"/>
      <c r="AL7" s="50" t="str">
        <f t="shared" si="10"/>
        <v>Null</v>
      </c>
      <c r="AM7" s="48">
        <f t="shared" si="11"/>
        <v>0</v>
      </c>
      <c r="AN7" s="81">
        <f t="shared" si="32"/>
        <v>3</v>
      </c>
      <c r="AO7" s="48">
        <f t="shared" si="40"/>
        <v>12</v>
      </c>
      <c r="AP7" s="49"/>
      <c r="AQ7" s="50" t="str">
        <f t="shared" si="12"/>
        <v>Null</v>
      </c>
      <c r="AR7" s="50"/>
      <c r="AS7" s="50" t="str">
        <f t="shared" si="33"/>
        <v>Null</v>
      </c>
      <c r="AT7" s="48">
        <f t="shared" si="13"/>
        <v>0</v>
      </c>
      <c r="AU7" s="81">
        <f t="shared" si="34"/>
        <v>3</v>
      </c>
      <c r="AV7" s="48">
        <f t="shared" si="41"/>
        <v>12</v>
      </c>
      <c r="AW7" s="49"/>
      <c r="AX7" s="50" t="str">
        <f t="shared" si="14"/>
        <v>Null</v>
      </c>
      <c r="AY7" s="50"/>
      <c r="AZ7" s="50" t="str">
        <f t="shared" si="35"/>
        <v>Null</v>
      </c>
      <c r="BA7" s="44">
        <f t="shared" si="15"/>
        <v>0</v>
      </c>
      <c r="BB7" s="44">
        <f t="shared" si="16"/>
        <v>3</v>
      </c>
      <c r="BC7" s="44">
        <f t="shared" si="17"/>
        <v>12</v>
      </c>
      <c r="BD7" s="44">
        <f t="shared" si="18"/>
        <v>0</v>
      </c>
      <c r="BE7" s="45" t="str">
        <f t="shared" si="19"/>
        <v>Null</v>
      </c>
      <c r="BF7" s="45">
        <f t="shared" si="20"/>
        <v>0</v>
      </c>
      <c r="BG7" s="46" t="str">
        <f t="shared" si="21"/>
        <v>Null</v>
      </c>
      <c r="BK7" s="38" t="s">
        <v>37</v>
      </c>
      <c r="BL7" s="38">
        <v>10</v>
      </c>
      <c r="BM7" s="38">
        <v>11</v>
      </c>
    </row>
    <row r="8" spans="1:81" s="38" customFormat="1" ht="24">
      <c r="A8" s="39"/>
      <c r="B8" s="40">
        <v>5</v>
      </c>
      <c r="C8" s="51">
        <v>6.25E-2</v>
      </c>
      <c r="D8" s="41">
        <f t="shared" si="0"/>
        <v>0</v>
      </c>
      <c r="E8" s="86">
        <f t="shared" si="22"/>
        <v>3.25</v>
      </c>
      <c r="F8" s="41">
        <f t="shared" si="23"/>
        <v>13</v>
      </c>
      <c r="G8" s="42"/>
      <c r="H8" s="43" t="str">
        <f t="shared" si="42"/>
        <v>Null</v>
      </c>
      <c r="I8" s="43"/>
      <c r="J8" s="43" t="str">
        <f t="shared" si="24"/>
        <v>Null</v>
      </c>
      <c r="K8" s="41">
        <f t="shared" si="2"/>
        <v>0</v>
      </c>
      <c r="L8" s="80">
        <f t="shared" si="25"/>
        <v>3.25</v>
      </c>
      <c r="M8" s="41">
        <f t="shared" si="36"/>
        <v>13</v>
      </c>
      <c r="N8" s="42"/>
      <c r="O8" s="43" t="str">
        <f t="shared" si="3"/>
        <v>Null</v>
      </c>
      <c r="P8" s="43"/>
      <c r="Q8" s="43" t="str">
        <f t="shared" si="26"/>
        <v>Null</v>
      </c>
      <c r="R8" s="41">
        <f t="shared" si="4"/>
        <v>0</v>
      </c>
      <c r="S8" s="80">
        <f t="shared" si="27"/>
        <v>3.25</v>
      </c>
      <c r="T8" s="41">
        <f t="shared" si="37"/>
        <v>13</v>
      </c>
      <c r="U8" s="42"/>
      <c r="V8" s="43" t="str">
        <f t="shared" si="5"/>
        <v>Null</v>
      </c>
      <c r="W8" s="43"/>
      <c r="X8" s="43" t="str">
        <f t="shared" si="28"/>
        <v>Null</v>
      </c>
      <c r="Y8" s="41">
        <f t="shared" si="6"/>
        <v>0</v>
      </c>
      <c r="Z8" s="80">
        <f t="shared" si="29"/>
        <v>3.25</v>
      </c>
      <c r="AA8" s="41">
        <f t="shared" si="38"/>
        <v>13</v>
      </c>
      <c r="AB8" s="42"/>
      <c r="AC8" s="43" t="str">
        <f t="shared" si="7"/>
        <v>Null</v>
      </c>
      <c r="AD8" s="43"/>
      <c r="AE8" s="43" t="str">
        <f t="shared" si="30"/>
        <v>Null</v>
      </c>
      <c r="AF8" s="41">
        <f t="shared" si="8"/>
        <v>0</v>
      </c>
      <c r="AG8" s="80">
        <f t="shared" si="31"/>
        <v>3.25</v>
      </c>
      <c r="AH8" s="41">
        <f t="shared" si="39"/>
        <v>13</v>
      </c>
      <c r="AI8" s="42"/>
      <c r="AJ8" s="43" t="str">
        <f t="shared" si="9"/>
        <v>Null</v>
      </c>
      <c r="AK8" s="43"/>
      <c r="AL8" s="43" t="str">
        <f t="shared" si="10"/>
        <v>Null</v>
      </c>
      <c r="AM8" s="41">
        <f t="shared" si="11"/>
        <v>0</v>
      </c>
      <c r="AN8" s="80">
        <f t="shared" si="32"/>
        <v>3.25</v>
      </c>
      <c r="AO8" s="41">
        <f t="shared" si="40"/>
        <v>13</v>
      </c>
      <c r="AP8" s="42"/>
      <c r="AQ8" s="43" t="str">
        <f t="shared" si="12"/>
        <v>Null</v>
      </c>
      <c r="AR8" s="43"/>
      <c r="AS8" s="43" t="str">
        <f t="shared" si="33"/>
        <v>Null</v>
      </c>
      <c r="AT8" s="41">
        <f t="shared" si="13"/>
        <v>0</v>
      </c>
      <c r="AU8" s="80">
        <f t="shared" si="34"/>
        <v>3.25</v>
      </c>
      <c r="AV8" s="41">
        <f t="shared" si="41"/>
        <v>13</v>
      </c>
      <c r="AW8" s="42"/>
      <c r="AX8" s="43" t="str">
        <f t="shared" si="14"/>
        <v>Null</v>
      </c>
      <c r="AY8" s="43"/>
      <c r="AZ8" s="43" t="str">
        <f t="shared" si="35"/>
        <v>Null</v>
      </c>
      <c r="BA8" s="44">
        <f t="shared" si="15"/>
        <v>0</v>
      </c>
      <c r="BB8" s="44">
        <f t="shared" si="16"/>
        <v>3.25</v>
      </c>
      <c r="BC8" s="44">
        <f t="shared" si="17"/>
        <v>13</v>
      </c>
      <c r="BD8" s="44">
        <f t="shared" si="18"/>
        <v>0</v>
      </c>
      <c r="BE8" s="45" t="str">
        <f t="shared" si="19"/>
        <v>Null</v>
      </c>
      <c r="BF8" s="45">
        <f t="shared" si="20"/>
        <v>0</v>
      </c>
      <c r="BG8" s="46" t="str">
        <f t="shared" si="21"/>
        <v>Null</v>
      </c>
      <c r="BK8" s="38" t="s">
        <v>38</v>
      </c>
      <c r="BL8" s="38">
        <v>37</v>
      </c>
    </row>
    <row r="9" spans="1:81" s="38" customFormat="1" ht="24">
      <c r="A9" s="52"/>
      <c r="B9" s="53">
        <v>6</v>
      </c>
      <c r="C9" s="47">
        <v>7.2916666666666699E-2</v>
      </c>
      <c r="D9" s="48">
        <f t="shared" si="0"/>
        <v>0</v>
      </c>
      <c r="E9" s="83">
        <f t="shared" si="22"/>
        <v>3.5</v>
      </c>
      <c r="F9" s="48">
        <f t="shared" si="23"/>
        <v>14</v>
      </c>
      <c r="G9" s="49"/>
      <c r="H9" s="50" t="str">
        <f t="shared" si="42"/>
        <v>Null</v>
      </c>
      <c r="I9" s="50"/>
      <c r="J9" s="50" t="str">
        <f t="shared" si="24"/>
        <v>Null</v>
      </c>
      <c r="K9" s="48">
        <f t="shared" si="2"/>
        <v>0</v>
      </c>
      <c r="L9" s="81">
        <f t="shared" si="25"/>
        <v>3.5</v>
      </c>
      <c r="M9" s="48">
        <f t="shared" si="36"/>
        <v>14</v>
      </c>
      <c r="N9" s="49"/>
      <c r="O9" s="50" t="str">
        <f t="shared" si="3"/>
        <v>Null</v>
      </c>
      <c r="P9" s="50"/>
      <c r="Q9" s="50" t="str">
        <f t="shared" si="26"/>
        <v>Null</v>
      </c>
      <c r="R9" s="48">
        <f t="shared" si="4"/>
        <v>0</v>
      </c>
      <c r="S9" s="81">
        <f t="shared" si="27"/>
        <v>3.5</v>
      </c>
      <c r="T9" s="48">
        <f t="shared" si="37"/>
        <v>14</v>
      </c>
      <c r="U9" s="49"/>
      <c r="V9" s="50" t="str">
        <f t="shared" si="5"/>
        <v>Null</v>
      </c>
      <c r="W9" s="50"/>
      <c r="X9" s="50" t="str">
        <f t="shared" si="28"/>
        <v>Null</v>
      </c>
      <c r="Y9" s="48">
        <f t="shared" si="6"/>
        <v>0</v>
      </c>
      <c r="Z9" s="81">
        <f t="shared" si="29"/>
        <v>3.5</v>
      </c>
      <c r="AA9" s="48">
        <f t="shared" si="38"/>
        <v>14</v>
      </c>
      <c r="AB9" s="49"/>
      <c r="AC9" s="50" t="str">
        <f t="shared" si="7"/>
        <v>Null</v>
      </c>
      <c r="AD9" s="50"/>
      <c r="AE9" s="50" t="str">
        <f t="shared" si="30"/>
        <v>Null</v>
      </c>
      <c r="AF9" s="48">
        <f t="shared" si="8"/>
        <v>0</v>
      </c>
      <c r="AG9" s="81">
        <f t="shared" si="31"/>
        <v>3.5</v>
      </c>
      <c r="AH9" s="48">
        <f t="shared" si="39"/>
        <v>14</v>
      </c>
      <c r="AI9" s="49"/>
      <c r="AJ9" s="50" t="str">
        <f t="shared" si="9"/>
        <v>Null</v>
      </c>
      <c r="AK9" s="50"/>
      <c r="AL9" s="50" t="str">
        <f t="shared" si="10"/>
        <v>Null</v>
      </c>
      <c r="AM9" s="48">
        <f t="shared" si="11"/>
        <v>0</v>
      </c>
      <c r="AN9" s="81">
        <f t="shared" si="32"/>
        <v>3.5</v>
      </c>
      <c r="AO9" s="48">
        <f t="shared" si="40"/>
        <v>14</v>
      </c>
      <c r="AP9" s="49"/>
      <c r="AQ9" s="50" t="str">
        <f t="shared" si="12"/>
        <v>Null</v>
      </c>
      <c r="AR9" s="50"/>
      <c r="AS9" s="50" t="str">
        <f t="shared" si="33"/>
        <v>Null</v>
      </c>
      <c r="AT9" s="48">
        <f t="shared" si="13"/>
        <v>0</v>
      </c>
      <c r="AU9" s="81">
        <f t="shared" si="34"/>
        <v>3.5</v>
      </c>
      <c r="AV9" s="48">
        <f t="shared" si="41"/>
        <v>14</v>
      </c>
      <c r="AW9" s="49"/>
      <c r="AX9" s="50" t="str">
        <f t="shared" si="14"/>
        <v>Null</v>
      </c>
      <c r="AY9" s="50"/>
      <c r="AZ9" s="50" t="str">
        <f t="shared" si="35"/>
        <v>Null</v>
      </c>
      <c r="BA9" s="44">
        <f t="shared" si="15"/>
        <v>0</v>
      </c>
      <c r="BB9" s="44">
        <f t="shared" si="16"/>
        <v>3.5</v>
      </c>
      <c r="BC9" s="44">
        <f t="shared" si="17"/>
        <v>14</v>
      </c>
      <c r="BD9" s="44">
        <f t="shared" si="18"/>
        <v>0</v>
      </c>
      <c r="BE9" s="45" t="str">
        <f t="shared" si="19"/>
        <v>Null</v>
      </c>
      <c r="BF9" s="45">
        <f t="shared" si="20"/>
        <v>0</v>
      </c>
      <c r="BG9" s="46" t="str">
        <f t="shared" si="21"/>
        <v>Null</v>
      </c>
    </row>
    <row r="10" spans="1:81" s="38" customFormat="1" ht="24">
      <c r="A10" s="39"/>
      <c r="B10" s="40">
        <v>7</v>
      </c>
      <c r="C10" s="51">
        <v>8.3333333333333301E-2</v>
      </c>
      <c r="D10" s="41">
        <f t="shared" si="0"/>
        <v>0</v>
      </c>
      <c r="E10" s="86">
        <f t="shared" si="22"/>
        <v>3.75</v>
      </c>
      <c r="F10" s="41">
        <f t="shared" si="23"/>
        <v>15</v>
      </c>
      <c r="G10" s="42"/>
      <c r="H10" s="43" t="str">
        <f t="shared" si="42"/>
        <v>Null</v>
      </c>
      <c r="I10" s="43"/>
      <c r="J10" s="43" t="str">
        <f t="shared" si="24"/>
        <v>Null</v>
      </c>
      <c r="K10" s="41">
        <f t="shared" si="2"/>
        <v>0</v>
      </c>
      <c r="L10" s="80">
        <f t="shared" si="25"/>
        <v>3.75</v>
      </c>
      <c r="M10" s="41">
        <f t="shared" si="36"/>
        <v>15</v>
      </c>
      <c r="N10" s="42"/>
      <c r="O10" s="43" t="str">
        <f t="shared" si="3"/>
        <v>Null</v>
      </c>
      <c r="P10" s="43"/>
      <c r="Q10" s="43" t="str">
        <f t="shared" si="26"/>
        <v>Null</v>
      </c>
      <c r="R10" s="41">
        <f t="shared" si="4"/>
        <v>0</v>
      </c>
      <c r="S10" s="80">
        <f t="shared" si="27"/>
        <v>3.75</v>
      </c>
      <c r="T10" s="41">
        <f t="shared" si="37"/>
        <v>15</v>
      </c>
      <c r="U10" s="42"/>
      <c r="V10" s="43" t="str">
        <f t="shared" si="5"/>
        <v>Null</v>
      </c>
      <c r="W10" s="43"/>
      <c r="X10" s="43" t="str">
        <f t="shared" si="28"/>
        <v>Null</v>
      </c>
      <c r="Y10" s="41">
        <f t="shared" si="6"/>
        <v>0</v>
      </c>
      <c r="Z10" s="80">
        <f t="shared" si="29"/>
        <v>3.75</v>
      </c>
      <c r="AA10" s="41">
        <f t="shared" si="38"/>
        <v>15</v>
      </c>
      <c r="AB10" s="42"/>
      <c r="AC10" s="43" t="str">
        <f t="shared" si="7"/>
        <v>Null</v>
      </c>
      <c r="AD10" s="43"/>
      <c r="AE10" s="43" t="str">
        <f t="shared" si="30"/>
        <v>Null</v>
      </c>
      <c r="AF10" s="41">
        <f t="shared" si="8"/>
        <v>0</v>
      </c>
      <c r="AG10" s="80">
        <f t="shared" si="31"/>
        <v>3.75</v>
      </c>
      <c r="AH10" s="41">
        <f t="shared" si="39"/>
        <v>15</v>
      </c>
      <c r="AI10" s="42"/>
      <c r="AJ10" s="43" t="str">
        <f t="shared" si="9"/>
        <v>Null</v>
      </c>
      <c r="AK10" s="43"/>
      <c r="AL10" s="43" t="str">
        <f t="shared" si="10"/>
        <v>Null</v>
      </c>
      <c r="AM10" s="41">
        <f t="shared" si="11"/>
        <v>0</v>
      </c>
      <c r="AN10" s="80">
        <f t="shared" si="32"/>
        <v>3.75</v>
      </c>
      <c r="AO10" s="41">
        <f t="shared" si="40"/>
        <v>15</v>
      </c>
      <c r="AP10" s="42"/>
      <c r="AQ10" s="43" t="str">
        <f t="shared" si="12"/>
        <v>Null</v>
      </c>
      <c r="AR10" s="43"/>
      <c r="AS10" s="43" t="str">
        <f t="shared" si="33"/>
        <v>Null</v>
      </c>
      <c r="AT10" s="41">
        <f t="shared" si="13"/>
        <v>0</v>
      </c>
      <c r="AU10" s="80">
        <f t="shared" si="34"/>
        <v>3.75</v>
      </c>
      <c r="AV10" s="41">
        <f t="shared" si="41"/>
        <v>15</v>
      </c>
      <c r="AW10" s="42"/>
      <c r="AX10" s="43" t="str">
        <f t="shared" si="14"/>
        <v>Null</v>
      </c>
      <c r="AY10" s="43"/>
      <c r="AZ10" s="43" t="str">
        <f t="shared" si="35"/>
        <v>Null</v>
      </c>
      <c r="BA10" s="44">
        <f t="shared" si="15"/>
        <v>0</v>
      </c>
      <c r="BB10" s="44">
        <f t="shared" si="16"/>
        <v>3.75</v>
      </c>
      <c r="BC10" s="44">
        <f t="shared" si="17"/>
        <v>15</v>
      </c>
      <c r="BD10" s="44">
        <f t="shared" si="18"/>
        <v>0</v>
      </c>
      <c r="BE10" s="45" t="str">
        <f t="shared" si="19"/>
        <v>Null</v>
      </c>
      <c r="BF10" s="45">
        <f t="shared" si="20"/>
        <v>0</v>
      </c>
      <c r="BG10" s="46" t="str">
        <f t="shared" si="21"/>
        <v>Null</v>
      </c>
    </row>
    <row r="11" spans="1:81" s="38" customFormat="1" ht="24">
      <c r="A11" s="52"/>
      <c r="B11" s="53">
        <v>8</v>
      </c>
      <c r="C11" s="47">
        <v>9.375E-2</v>
      </c>
      <c r="D11" s="48">
        <f t="shared" si="0"/>
        <v>0</v>
      </c>
      <c r="E11" s="83">
        <f t="shared" si="22"/>
        <v>4</v>
      </c>
      <c r="F11" s="48">
        <f t="shared" si="23"/>
        <v>16</v>
      </c>
      <c r="G11" s="49"/>
      <c r="H11" s="50" t="str">
        <f t="shared" si="42"/>
        <v>Null</v>
      </c>
      <c r="I11" s="50"/>
      <c r="J11" s="50" t="str">
        <f t="shared" si="24"/>
        <v>Null</v>
      </c>
      <c r="K11" s="48">
        <f t="shared" si="2"/>
        <v>0</v>
      </c>
      <c r="L11" s="81">
        <f t="shared" si="25"/>
        <v>4</v>
      </c>
      <c r="M11" s="48">
        <f t="shared" si="36"/>
        <v>16</v>
      </c>
      <c r="N11" s="49"/>
      <c r="O11" s="50" t="str">
        <f t="shared" si="3"/>
        <v>Null</v>
      </c>
      <c r="P11" s="50"/>
      <c r="Q11" s="50" t="str">
        <f t="shared" si="26"/>
        <v>Null</v>
      </c>
      <c r="R11" s="48">
        <f t="shared" si="4"/>
        <v>0</v>
      </c>
      <c r="S11" s="81">
        <f t="shared" si="27"/>
        <v>4</v>
      </c>
      <c r="T11" s="48">
        <f t="shared" si="37"/>
        <v>16</v>
      </c>
      <c r="U11" s="49"/>
      <c r="V11" s="50" t="str">
        <f t="shared" si="5"/>
        <v>Null</v>
      </c>
      <c r="W11" s="50"/>
      <c r="X11" s="50" t="str">
        <f t="shared" si="28"/>
        <v>Null</v>
      </c>
      <c r="Y11" s="48">
        <f t="shared" si="6"/>
        <v>0</v>
      </c>
      <c r="Z11" s="81">
        <f t="shared" si="29"/>
        <v>4</v>
      </c>
      <c r="AA11" s="48">
        <f t="shared" si="38"/>
        <v>16</v>
      </c>
      <c r="AB11" s="49"/>
      <c r="AC11" s="50" t="str">
        <f t="shared" si="7"/>
        <v>Null</v>
      </c>
      <c r="AD11" s="50"/>
      <c r="AE11" s="50" t="str">
        <f t="shared" si="30"/>
        <v>Null</v>
      </c>
      <c r="AF11" s="48">
        <f t="shared" si="8"/>
        <v>0</v>
      </c>
      <c r="AG11" s="81">
        <f t="shared" si="31"/>
        <v>4</v>
      </c>
      <c r="AH11" s="48">
        <f t="shared" si="39"/>
        <v>16</v>
      </c>
      <c r="AI11" s="49"/>
      <c r="AJ11" s="50" t="str">
        <f t="shared" si="9"/>
        <v>Null</v>
      </c>
      <c r="AK11" s="50"/>
      <c r="AL11" s="50" t="str">
        <f t="shared" si="10"/>
        <v>Null</v>
      </c>
      <c r="AM11" s="48">
        <f t="shared" si="11"/>
        <v>0</v>
      </c>
      <c r="AN11" s="81">
        <f t="shared" si="32"/>
        <v>4</v>
      </c>
      <c r="AO11" s="48">
        <f t="shared" si="40"/>
        <v>16</v>
      </c>
      <c r="AP11" s="49"/>
      <c r="AQ11" s="50" t="str">
        <f t="shared" si="12"/>
        <v>Null</v>
      </c>
      <c r="AR11" s="50"/>
      <c r="AS11" s="50" t="str">
        <f t="shared" si="33"/>
        <v>Null</v>
      </c>
      <c r="AT11" s="48">
        <f t="shared" si="13"/>
        <v>0</v>
      </c>
      <c r="AU11" s="81">
        <f t="shared" si="34"/>
        <v>4</v>
      </c>
      <c r="AV11" s="48">
        <f t="shared" si="41"/>
        <v>16</v>
      </c>
      <c r="AW11" s="49"/>
      <c r="AX11" s="50" t="str">
        <f t="shared" si="14"/>
        <v>Null</v>
      </c>
      <c r="AY11" s="50"/>
      <c r="AZ11" s="50" t="str">
        <f t="shared" si="35"/>
        <v>Null</v>
      </c>
      <c r="BA11" s="44">
        <f t="shared" si="15"/>
        <v>0</v>
      </c>
      <c r="BB11" s="44">
        <f t="shared" si="16"/>
        <v>4</v>
      </c>
      <c r="BC11" s="44">
        <f t="shared" si="17"/>
        <v>16</v>
      </c>
      <c r="BD11" s="44">
        <f t="shared" si="18"/>
        <v>0</v>
      </c>
      <c r="BE11" s="45" t="str">
        <f t="shared" si="19"/>
        <v>Null</v>
      </c>
      <c r="BF11" s="45">
        <f t="shared" si="20"/>
        <v>0</v>
      </c>
      <c r="BG11" s="46" t="str">
        <f t="shared" si="21"/>
        <v>Null</v>
      </c>
    </row>
    <row r="12" spans="1:81" s="38" customFormat="1" ht="24">
      <c r="A12" s="39"/>
      <c r="B12" s="40">
        <v>9</v>
      </c>
      <c r="C12" s="51">
        <v>0.104166666666667</v>
      </c>
      <c r="D12" s="41">
        <f t="shared" si="0"/>
        <v>0</v>
      </c>
      <c r="E12" s="86">
        <f t="shared" si="22"/>
        <v>4.25</v>
      </c>
      <c r="F12" s="41">
        <f t="shared" si="23"/>
        <v>17</v>
      </c>
      <c r="G12" s="42"/>
      <c r="H12" s="43" t="str">
        <f t="shared" si="42"/>
        <v>Null</v>
      </c>
      <c r="I12" s="43"/>
      <c r="J12" s="43" t="str">
        <f t="shared" si="24"/>
        <v>Null</v>
      </c>
      <c r="K12" s="41">
        <f t="shared" si="2"/>
        <v>0</v>
      </c>
      <c r="L12" s="80">
        <f t="shared" si="25"/>
        <v>4.25</v>
      </c>
      <c r="M12" s="41">
        <f t="shared" si="36"/>
        <v>17</v>
      </c>
      <c r="N12" s="42"/>
      <c r="O12" s="43" t="str">
        <f t="shared" si="3"/>
        <v>Null</v>
      </c>
      <c r="P12" s="43"/>
      <c r="Q12" s="43" t="str">
        <f t="shared" si="26"/>
        <v>Null</v>
      </c>
      <c r="R12" s="41">
        <f t="shared" si="4"/>
        <v>0</v>
      </c>
      <c r="S12" s="80">
        <f t="shared" si="27"/>
        <v>4.25</v>
      </c>
      <c r="T12" s="41">
        <f t="shared" si="37"/>
        <v>17</v>
      </c>
      <c r="U12" s="42"/>
      <c r="V12" s="43" t="str">
        <f t="shared" si="5"/>
        <v>Null</v>
      </c>
      <c r="W12" s="43"/>
      <c r="X12" s="43" t="str">
        <f t="shared" si="28"/>
        <v>Null</v>
      </c>
      <c r="Y12" s="41">
        <f t="shared" si="6"/>
        <v>0</v>
      </c>
      <c r="Z12" s="80">
        <f t="shared" si="29"/>
        <v>4.25</v>
      </c>
      <c r="AA12" s="41">
        <f t="shared" si="38"/>
        <v>17</v>
      </c>
      <c r="AB12" s="42"/>
      <c r="AC12" s="43" t="str">
        <f t="shared" si="7"/>
        <v>Null</v>
      </c>
      <c r="AD12" s="43"/>
      <c r="AE12" s="43" t="str">
        <f t="shared" si="30"/>
        <v>Null</v>
      </c>
      <c r="AF12" s="41">
        <f t="shared" si="8"/>
        <v>0</v>
      </c>
      <c r="AG12" s="80">
        <f t="shared" si="31"/>
        <v>4.25</v>
      </c>
      <c r="AH12" s="41">
        <f t="shared" si="39"/>
        <v>17</v>
      </c>
      <c r="AI12" s="42"/>
      <c r="AJ12" s="43" t="str">
        <f t="shared" si="9"/>
        <v>Null</v>
      </c>
      <c r="AK12" s="43"/>
      <c r="AL12" s="43" t="str">
        <f t="shared" si="10"/>
        <v>Null</v>
      </c>
      <c r="AM12" s="41">
        <f t="shared" si="11"/>
        <v>0</v>
      </c>
      <c r="AN12" s="80">
        <f t="shared" si="32"/>
        <v>4.25</v>
      </c>
      <c r="AO12" s="41">
        <f t="shared" si="40"/>
        <v>17</v>
      </c>
      <c r="AP12" s="42"/>
      <c r="AQ12" s="43" t="str">
        <f t="shared" si="12"/>
        <v>Null</v>
      </c>
      <c r="AR12" s="43"/>
      <c r="AS12" s="43" t="str">
        <f t="shared" si="33"/>
        <v>Null</v>
      </c>
      <c r="AT12" s="41">
        <f t="shared" si="13"/>
        <v>0</v>
      </c>
      <c r="AU12" s="80">
        <f t="shared" si="34"/>
        <v>4.25</v>
      </c>
      <c r="AV12" s="41">
        <f t="shared" si="41"/>
        <v>17</v>
      </c>
      <c r="AW12" s="42"/>
      <c r="AX12" s="43" t="str">
        <f t="shared" si="14"/>
        <v>Null</v>
      </c>
      <c r="AY12" s="43"/>
      <c r="AZ12" s="43" t="str">
        <f t="shared" si="35"/>
        <v>Null</v>
      </c>
      <c r="BA12" s="44">
        <f t="shared" si="15"/>
        <v>0</v>
      </c>
      <c r="BB12" s="44">
        <f t="shared" si="16"/>
        <v>4.25</v>
      </c>
      <c r="BC12" s="44">
        <f t="shared" si="17"/>
        <v>17</v>
      </c>
      <c r="BD12" s="44">
        <f t="shared" si="18"/>
        <v>0</v>
      </c>
      <c r="BE12" s="45" t="str">
        <f t="shared" si="19"/>
        <v>Null</v>
      </c>
      <c r="BF12" s="45">
        <f t="shared" si="20"/>
        <v>0</v>
      </c>
      <c r="BG12" s="46" t="str">
        <f t="shared" si="21"/>
        <v>Null</v>
      </c>
    </row>
    <row r="13" spans="1:81" s="38" customFormat="1" ht="24">
      <c r="A13" s="52"/>
      <c r="B13" s="53"/>
      <c r="C13" s="47">
        <v>0.114583333333333</v>
      </c>
      <c r="D13" s="48">
        <f t="shared" si="0"/>
        <v>0</v>
      </c>
      <c r="E13" s="83">
        <f t="shared" si="22"/>
        <v>4.5</v>
      </c>
      <c r="F13" s="48">
        <f t="shared" si="23"/>
        <v>18</v>
      </c>
      <c r="G13" s="49"/>
      <c r="H13" s="50" t="str">
        <f t="shared" si="42"/>
        <v>Null</v>
      </c>
      <c r="I13" s="50"/>
      <c r="J13" s="50" t="str">
        <f t="shared" si="24"/>
        <v>Null</v>
      </c>
      <c r="K13" s="48">
        <f t="shared" si="2"/>
        <v>0</v>
      </c>
      <c r="L13" s="81">
        <f t="shared" si="25"/>
        <v>4.5</v>
      </c>
      <c r="M13" s="48">
        <f t="shared" si="36"/>
        <v>18</v>
      </c>
      <c r="N13" s="49"/>
      <c r="O13" s="50" t="str">
        <f t="shared" si="3"/>
        <v>Null</v>
      </c>
      <c r="P13" s="50"/>
      <c r="Q13" s="50" t="str">
        <f t="shared" si="26"/>
        <v>Null</v>
      </c>
      <c r="R13" s="48">
        <f t="shared" si="4"/>
        <v>0</v>
      </c>
      <c r="S13" s="81">
        <f t="shared" si="27"/>
        <v>4.5</v>
      </c>
      <c r="T13" s="48">
        <f t="shared" si="37"/>
        <v>18</v>
      </c>
      <c r="U13" s="49"/>
      <c r="V13" s="50" t="str">
        <f t="shared" si="5"/>
        <v>Null</v>
      </c>
      <c r="W13" s="50"/>
      <c r="X13" s="50" t="str">
        <f t="shared" si="28"/>
        <v>Null</v>
      </c>
      <c r="Y13" s="48">
        <f t="shared" si="6"/>
        <v>0</v>
      </c>
      <c r="Z13" s="81">
        <f t="shared" si="29"/>
        <v>4.5</v>
      </c>
      <c r="AA13" s="48">
        <f t="shared" si="38"/>
        <v>18</v>
      </c>
      <c r="AB13" s="49"/>
      <c r="AC13" s="50" t="str">
        <f t="shared" si="7"/>
        <v>Null</v>
      </c>
      <c r="AD13" s="50"/>
      <c r="AE13" s="50" t="str">
        <f t="shared" si="30"/>
        <v>Null</v>
      </c>
      <c r="AF13" s="48">
        <f t="shared" si="8"/>
        <v>0</v>
      </c>
      <c r="AG13" s="81">
        <f t="shared" si="31"/>
        <v>4.5</v>
      </c>
      <c r="AH13" s="48">
        <f t="shared" si="39"/>
        <v>18</v>
      </c>
      <c r="AI13" s="49"/>
      <c r="AJ13" s="50" t="str">
        <f t="shared" si="9"/>
        <v>Null</v>
      </c>
      <c r="AK13" s="50"/>
      <c r="AL13" s="50" t="str">
        <f t="shared" si="10"/>
        <v>Null</v>
      </c>
      <c r="AM13" s="48">
        <f t="shared" si="11"/>
        <v>0</v>
      </c>
      <c r="AN13" s="81">
        <f t="shared" si="32"/>
        <v>4.5</v>
      </c>
      <c r="AO13" s="48">
        <f t="shared" si="40"/>
        <v>18</v>
      </c>
      <c r="AP13" s="49"/>
      <c r="AQ13" s="50" t="str">
        <f t="shared" si="12"/>
        <v>Null</v>
      </c>
      <c r="AR13" s="50"/>
      <c r="AS13" s="50" t="str">
        <f t="shared" si="33"/>
        <v>Null</v>
      </c>
      <c r="AT13" s="48">
        <f t="shared" si="13"/>
        <v>0</v>
      </c>
      <c r="AU13" s="81">
        <f t="shared" si="34"/>
        <v>4.5</v>
      </c>
      <c r="AV13" s="48">
        <f t="shared" si="41"/>
        <v>18</v>
      </c>
      <c r="AW13" s="49"/>
      <c r="AX13" s="50" t="str">
        <f t="shared" si="14"/>
        <v>Null</v>
      </c>
      <c r="AY13" s="50"/>
      <c r="AZ13" s="50" t="str">
        <f t="shared" si="35"/>
        <v>Null</v>
      </c>
      <c r="BA13" s="44">
        <f t="shared" si="15"/>
        <v>0</v>
      </c>
      <c r="BB13" s="44">
        <f t="shared" si="16"/>
        <v>4.5</v>
      </c>
      <c r="BC13" s="44">
        <f t="shared" si="17"/>
        <v>18</v>
      </c>
      <c r="BD13" s="44">
        <f t="shared" si="18"/>
        <v>0</v>
      </c>
      <c r="BE13" s="45" t="str">
        <f t="shared" si="19"/>
        <v>Null</v>
      </c>
      <c r="BF13" s="45">
        <f t="shared" si="20"/>
        <v>0</v>
      </c>
      <c r="BG13" s="46" t="str">
        <f t="shared" si="21"/>
        <v>Null</v>
      </c>
    </row>
    <row r="14" spans="1:81" s="38" customFormat="1" ht="24">
      <c r="A14" s="87" t="s">
        <v>39</v>
      </c>
      <c r="B14" s="88"/>
      <c r="C14" s="51">
        <v>0.125</v>
      </c>
      <c r="D14" s="41">
        <f t="shared" si="0"/>
        <v>0</v>
      </c>
      <c r="E14" s="86">
        <f t="shared" si="22"/>
        <v>4.75</v>
      </c>
      <c r="F14" s="41">
        <f t="shared" si="23"/>
        <v>19</v>
      </c>
      <c r="G14" s="42"/>
      <c r="H14" s="43" t="str">
        <f t="shared" si="42"/>
        <v>Null</v>
      </c>
      <c r="I14" s="43"/>
      <c r="J14" s="43" t="str">
        <f t="shared" si="24"/>
        <v>Null</v>
      </c>
      <c r="K14" s="41">
        <f t="shared" si="2"/>
        <v>0</v>
      </c>
      <c r="L14" s="80">
        <f t="shared" si="25"/>
        <v>4.75</v>
      </c>
      <c r="M14" s="41">
        <f t="shared" si="36"/>
        <v>19</v>
      </c>
      <c r="N14" s="42"/>
      <c r="O14" s="43" t="str">
        <f t="shared" si="3"/>
        <v>Null</v>
      </c>
      <c r="P14" s="43"/>
      <c r="Q14" s="43" t="str">
        <f t="shared" si="26"/>
        <v>Null</v>
      </c>
      <c r="R14" s="41">
        <f t="shared" si="4"/>
        <v>0</v>
      </c>
      <c r="S14" s="80">
        <f t="shared" si="27"/>
        <v>4.75</v>
      </c>
      <c r="T14" s="41">
        <f t="shared" si="37"/>
        <v>19</v>
      </c>
      <c r="U14" s="42"/>
      <c r="V14" s="43" t="str">
        <f t="shared" si="5"/>
        <v>Null</v>
      </c>
      <c r="W14" s="43"/>
      <c r="X14" s="43" t="str">
        <f t="shared" si="28"/>
        <v>Null</v>
      </c>
      <c r="Y14" s="41">
        <f t="shared" si="6"/>
        <v>0</v>
      </c>
      <c r="Z14" s="80">
        <f t="shared" si="29"/>
        <v>4.75</v>
      </c>
      <c r="AA14" s="41">
        <f t="shared" si="38"/>
        <v>19</v>
      </c>
      <c r="AB14" s="42"/>
      <c r="AC14" s="43" t="str">
        <f t="shared" si="7"/>
        <v>Null</v>
      </c>
      <c r="AD14" s="43"/>
      <c r="AE14" s="43" t="str">
        <f t="shared" si="30"/>
        <v>Null</v>
      </c>
      <c r="AF14" s="41">
        <f t="shared" si="8"/>
        <v>0</v>
      </c>
      <c r="AG14" s="80">
        <f t="shared" si="31"/>
        <v>4.75</v>
      </c>
      <c r="AH14" s="41">
        <f t="shared" si="39"/>
        <v>19</v>
      </c>
      <c r="AI14" s="42"/>
      <c r="AJ14" s="43" t="str">
        <f t="shared" si="9"/>
        <v>Null</v>
      </c>
      <c r="AK14" s="43"/>
      <c r="AL14" s="43" t="str">
        <f t="shared" si="10"/>
        <v>Null</v>
      </c>
      <c r="AM14" s="41">
        <f t="shared" si="11"/>
        <v>0</v>
      </c>
      <c r="AN14" s="80">
        <f t="shared" si="32"/>
        <v>4.75</v>
      </c>
      <c r="AO14" s="41">
        <f t="shared" si="40"/>
        <v>19</v>
      </c>
      <c r="AP14" s="42"/>
      <c r="AQ14" s="43" t="str">
        <f t="shared" si="12"/>
        <v>Null</v>
      </c>
      <c r="AR14" s="43"/>
      <c r="AS14" s="43" t="str">
        <f t="shared" si="33"/>
        <v>Null</v>
      </c>
      <c r="AT14" s="41">
        <f t="shared" si="13"/>
        <v>0</v>
      </c>
      <c r="AU14" s="80">
        <f t="shared" si="34"/>
        <v>4.75</v>
      </c>
      <c r="AV14" s="41">
        <f t="shared" si="41"/>
        <v>19</v>
      </c>
      <c r="AW14" s="42"/>
      <c r="AX14" s="43" t="str">
        <f t="shared" si="14"/>
        <v>Null</v>
      </c>
      <c r="AY14" s="43"/>
      <c r="AZ14" s="43" t="str">
        <f t="shared" si="35"/>
        <v>Null</v>
      </c>
      <c r="BA14" s="44">
        <f t="shared" si="15"/>
        <v>0</v>
      </c>
      <c r="BB14" s="44">
        <f t="shared" si="16"/>
        <v>4.75</v>
      </c>
      <c r="BC14" s="44">
        <f t="shared" si="17"/>
        <v>19</v>
      </c>
      <c r="BD14" s="44">
        <f t="shared" si="18"/>
        <v>0</v>
      </c>
      <c r="BE14" s="45" t="str">
        <f t="shared" si="19"/>
        <v>Null</v>
      </c>
      <c r="BF14" s="45">
        <f t="shared" si="20"/>
        <v>0</v>
      </c>
      <c r="BG14" s="46" t="str">
        <f t="shared" si="21"/>
        <v>Null</v>
      </c>
    </row>
    <row r="15" spans="1:81" s="38" customFormat="1" ht="24">
      <c r="A15" s="52" t="s">
        <v>40</v>
      </c>
      <c r="B15" s="53">
        <v>10</v>
      </c>
      <c r="C15" s="47">
        <v>0.13541666666666699</v>
      </c>
      <c r="D15" s="48">
        <f t="shared" si="0"/>
        <v>0</v>
      </c>
      <c r="E15" s="83">
        <f t="shared" si="22"/>
        <v>5</v>
      </c>
      <c r="F15" s="48">
        <f t="shared" si="23"/>
        <v>20</v>
      </c>
      <c r="G15" s="49"/>
      <c r="H15" s="50" t="str">
        <f t="shared" si="42"/>
        <v>Null</v>
      </c>
      <c r="I15" s="50"/>
      <c r="J15" s="50" t="str">
        <f t="shared" si="24"/>
        <v>Null</v>
      </c>
      <c r="K15" s="48">
        <f t="shared" si="2"/>
        <v>0</v>
      </c>
      <c r="L15" s="81">
        <f t="shared" si="25"/>
        <v>5</v>
      </c>
      <c r="M15" s="48">
        <f t="shared" si="36"/>
        <v>20</v>
      </c>
      <c r="N15" s="49"/>
      <c r="O15" s="50" t="str">
        <f t="shared" si="3"/>
        <v>Null</v>
      </c>
      <c r="P15" s="50"/>
      <c r="Q15" s="50" t="str">
        <f t="shared" si="26"/>
        <v>Null</v>
      </c>
      <c r="R15" s="48">
        <f t="shared" si="4"/>
        <v>0</v>
      </c>
      <c r="S15" s="81">
        <f t="shared" si="27"/>
        <v>5</v>
      </c>
      <c r="T15" s="48">
        <f t="shared" si="37"/>
        <v>20</v>
      </c>
      <c r="U15" s="49"/>
      <c r="V15" s="50" t="str">
        <f t="shared" si="5"/>
        <v>Null</v>
      </c>
      <c r="W15" s="50"/>
      <c r="X15" s="50" t="str">
        <f t="shared" si="28"/>
        <v>Null</v>
      </c>
      <c r="Y15" s="48">
        <f t="shared" si="6"/>
        <v>0</v>
      </c>
      <c r="Z15" s="81">
        <f t="shared" si="29"/>
        <v>5</v>
      </c>
      <c r="AA15" s="48">
        <f t="shared" si="38"/>
        <v>20</v>
      </c>
      <c r="AB15" s="49"/>
      <c r="AC15" s="50" t="str">
        <f t="shared" si="7"/>
        <v>Null</v>
      </c>
      <c r="AD15" s="50"/>
      <c r="AE15" s="50" t="str">
        <f t="shared" si="30"/>
        <v>Null</v>
      </c>
      <c r="AF15" s="48">
        <f t="shared" si="8"/>
        <v>0</v>
      </c>
      <c r="AG15" s="81">
        <f t="shared" si="31"/>
        <v>5</v>
      </c>
      <c r="AH15" s="48">
        <f t="shared" si="39"/>
        <v>20</v>
      </c>
      <c r="AI15" s="49"/>
      <c r="AJ15" s="50" t="str">
        <f t="shared" si="9"/>
        <v>Null</v>
      </c>
      <c r="AK15" s="50"/>
      <c r="AL15" s="50" t="str">
        <f t="shared" si="10"/>
        <v>Null</v>
      </c>
      <c r="AM15" s="48">
        <f t="shared" si="11"/>
        <v>0</v>
      </c>
      <c r="AN15" s="81">
        <f t="shared" si="32"/>
        <v>5</v>
      </c>
      <c r="AO15" s="48">
        <f t="shared" si="40"/>
        <v>20</v>
      </c>
      <c r="AP15" s="49"/>
      <c r="AQ15" s="50" t="str">
        <f t="shared" si="12"/>
        <v>Null</v>
      </c>
      <c r="AR15" s="50"/>
      <c r="AS15" s="50" t="str">
        <f t="shared" si="33"/>
        <v>Null</v>
      </c>
      <c r="AT15" s="48">
        <f t="shared" si="13"/>
        <v>0</v>
      </c>
      <c r="AU15" s="81">
        <f t="shared" si="34"/>
        <v>5</v>
      </c>
      <c r="AV15" s="48">
        <f t="shared" si="41"/>
        <v>20</v>
      </c>
      <c r="AW15" s="49"/>
      <c r="AX15" s="50" t="str">
        <f t="shared" si="14"/>
        <v>Null</v>
      </c>
      <c r="AY15" s="50"/>
      <c r="AZ15" s="50" t="str">
        <f t="shared" si="35"/>
        <v>Null</v>
      </c>
      <c r="BA15" s="44">
        <f t="shared" si="15"/>
        <v>0</v>
      </c>
      <c r="BB15" s="44">
        <f t="shared" si="16"/>
        <v>5</v>
      </c>
      <c r="BC15" s="44">
        <f t="shared" si="17"/>
        <v>20</v>
      </c>
      <c r="BD15" s="44">
        <f t="shared" si="18"/>
        <v>0</v>
      </c>
      <c r="BE15" s="45" t="str">
        <f t="shared" si="19"/>
        <v>Null</v>
      </c>
      <c r="BF15" s="45">
        <f t="shared" si="20"/>
        <v>0</v>
      </c>
      <c r="BG15" s="46" t="str">
        <f t="shared" si="21"/>
        <v>Null</v>
      </c>
    </row>
    <row r="16" spans="1:81" s="38" customFormat="1" ht="24">
      <c r="A16" s="39" t="s">
        <v>16</v>
      </c>
      <c r="B16" s="40">
        <v>11</v>
      </c>
      <c r="C16" s="51">
        <v>0.14583333333333301</v>
      </c>
      <c r="D16" s="41">
        <f t="shared" si="0"/>
        <v>0</v>
      </c>
      <c r="E16" s="86">
        <f t="shared" si="22"/>
        <v>5.25</v>
      </c>
      <c r="F16" s="41">
        <f t="shared" si="23"/>
        <v>21</v>
      </c>
      <c r="G16" s="42"/>
      <c r="H16" s="43" t="str">
        <f t="shared" si="42"/>
        <v>Null</v>
      </c>
      <c r="I16" s="43"/>
      <c r="J16" s="43" t="str">
        <f t="shared" si="24"/>
        <v>Null</v>
      </c>
      <c r="K16" s="41">
        <f t="shared" si="2"/>
        <v>0</v>
      </c>
      <c r="L16" s="80">
        <f t="shared" si="25"/>
        <v>5.25</v>
      </c>
      <c r="M16" s="41">
        <f t="shared" si="36"/>
        <v>21</v>
      </c>
      <c r="N16" s="42"/>
      <c r="O16" s="43" t="str">
        <f t="shared" si="3"/>
        <v>Null</v>
      </c>
      <c r="P16" s="43"/>
      <c r="Q16" s="43" t="str">
        <f t="shared" si="26"/>
        <v>Null</v>
      </c>
      <c r="R16" s="41">
        <f t="shared" si="4"/>
        <v>0</v>
      </c>
      <c r="S16" s="80">
        <f t="shared" si="27"/>
        <v>5.25</v>
      </c>
      <c r="T16" s="41">
        <f t="shared" si="37"/>
        <v>21</v>
      </c>
      <c r="U16" s="42"/>
      <c r="V16" s="43" t="str">
        <f t="shared" si="5"/>
        <v>Null</v>
      </c>
      <c r="W16" s="43"/>
      <c r="X16" s="43" t="str">
        <f t="shared" si="28"/>
        <v>Null</v>
      </c>
      <c r="Y16" s="41">
        <f t="shared" si="6"/>
        <v>0</v>
      </c>
      <c r="Z16" s="80">
        <f t="shared" si="29"/>
        <v>5.25</v>
      </c>
      <c r="AA16" s="41">
        <f t="shared" si="38"/>
        <v>21</v>
      </c>
      <c r="AB16" s="42"/>
      <c r="AC16" s="43" t="str">
        <f t="shared" si="7"/>
        <v>Null</v>
      </c>
      <c r="AD16" s="43"/>
      <c r="AE16" s="43" t="str">
        <f t="shared" si="30"/>
        <v>Null</v>
      </c>
      <c r="AF16" s="41">
        <f t="shared" si="8"/>
        <v>0</v>
      </c>
      <c r="AG16" s="80">
        <f t="shared" si="31"/>
        <v>5.25</v>
      </c>
      <c r="AH16" s="41">
        <f t="shared" si="39"/>
        <v>21</v>
      </c>
      <c r="AI16" s="42"/>
      <c r="AJ16" s="43" t="str">
        <f t="shared" si="9"/>
        <v>Null</v>
      </c>
      <c r="AK16" s="43"/>
      <c r="AL16" s="43" t="str">
        <f t="shared" si="10"/>
        <v>Null</v>
      </c>
      <c r="AM16" s="41">
        <f t="shared" si="11"/>
        <v>0</v>
      </c>
      <c r="AN16" s="80">
        <f t="shared" si="32"/>
        <v>5.25</v>
      </c>
      <c r="AO16" s="41">
        <f t="shared" si="40"/>
        <v>21</v>
      </c>
      <c r="AP16" s="42"/>
      <c r="AQ16" s="43" t="str">
        <f t="shared" si="12"/>
        <v>Null</v>
      </c>
      <c r="AR16" s="43"/>
      <c r="AS16" s="43" t="str">
        <f t="shared" si="33"/>
        <v>Null</v>
      </c>
      <c r="AT16" s="41">
        <f t="shared" si="13"/>
        <v>0</v>
      </c>
      <c r="AU16" s="80">
        <f t="shared" si="34"/>
        <v>5.25</v>
      </c>
      <c r="AV16" s="41">
        <f t="shared" si="41"/>
        <v>21</v>
      </c>
      <c r="AW16" s="42"/>
      <c r="AX16" s="43" t="str">
        <f t="shared" si="14"/>
        <v>Null</v>
      </c>
      <c r="AY16" s="43"/>
      <c r="AZ16" s="43" t="str">
        <f t="shared" si="35"/>
        <v>Null</v>
      </c>
      <c r="BA16" s="44">
        <f t="shared" si="15"/>
        <v>0</v>
      </c>
      <c r="BB16" s="44">
        <f t="shared" si="16"/>
        <v>5.25</v>
      </c>
      <c r="BC16" s="44">
        <f t="shared" si="17"/>
        <v>21</v>
      </c>
      <c r="BD16" s="44">
        <f t="shared" si="18"/>
        <v>0</v>
      </c>
      <c r="BE16" s="45" t="str">
        <f t="shared" si="19"/>
        <v>Null</v>
      </c>
      <c r="BF16" s="45">
        <f t="shared" si="20"/>
        <v>0</v>
      </c>
      <c r="BG16" s="46" t="str">
        <f t="shared" si="21"/>
        <v>Null</v>
      </c>
    </row>
    <row r="17" spans="1:59" s="38" customFormat="1" ht="24">
      <c r="A17" s="52" t="s">
        <v>104</v>
      </c>
      <c r="B17" s="53">
        <v>12</v>
      </c>
      <c r="C17" s="47">
        <v>0.15625</v>
      </c>
      <c r="D17" s="48">
        <f t="shared" si="0"/>
        <v>0</v>
      </c>
      <c r="E17" s="83">
        <f t="shared" si="22"/>
        <v>5.5</v>
      </c>
      <c r="F17" s="48">
        <f t="shared" si="23"/>
        <v>22</v>
      </c>
      <c r="G17" s="49"/>
      <c r="H17" s="50" t="str">
        <f t="shared" si="42"/>
        <v>Null</v>
      </c>
      <c r="I17" s="50"/>
      <c r="J17" s="50" t="str">
        <f t="shared" si="24"/>
        <v>Null</v>
      </c>
      <c r="K17" s="48">
        <f t="shared" si="2"/>
        <v>0</v>
      </c>
      <c r="L17" s="81">
        <f t="shared" si="25"/>
        <v>5.5</v>
      </c>
      <c r="M17" s="48">
        <f t="shared" si="36"/>
        <v>22</v>
      </c>
      <c r="N17" s="49"/>
      <c r="O17" s="50" t="str">
        <f t="shared" si="3"/>
        <v>Null</v>
      </c>
      <c r="P17" s="50"/>
      <c r="Q17" s="50" t="str">
        <f t="shared" si="26"/>
        <v>Null</v>
      </c>
      <c r="R17" s="48">
        <f t="shared" si="4"/>
        <v>0</v>
      </c>
      <c r="S17" s="81">
        <f t="shared" si="27"/>
        <v>5.5</v>
      </c>
      <c r="T17" s="48">
        <f t="shared" si="37"/>
        <v>22</v>
      </c>
      <c r="U17" s="49"/>
      <c r="V17" s="50" t="str">
        <f t="shared" si="5"/>
        <v>Null</v>
      </c>
      <c r="W17" s="50"/>
      <c r="X17" s="50" t="str">
        <f t="shared" si="28"/>
        <v>Null</v>
      </c>
      <c r="Y17" s="48">
        <f t="shared" si="6"/>
        <v>0</v>
      </c>
      <c r="Z17" s="81">
        <f t="shared" si="29"/>
        <v>5.5</v>
      </c>
      <c r="AA17" s="48">
        <f t="shared" si="38"/>
        <v>22</v>
      </c>
      <c r="AB17" s="49"/>
      <c r="AC17" s="50" t="str">
        <f t="shared" si="7"/>
        <v>Null</v>
      </c>
      <c r="AD17" s="50"/>
      <c r="AE17" s="50" t="str">
        <f t="shared" si="30"/>
        <v>Null</v>
      </c>
      <c r="AF17" s="48">
        <f t="shared" si="8"/>
        <v>0</v>
      </c>
      <c r="AG17" s="81">
        <f t="shared" si="31"/>
        <v>5.5</v>
      </c>
      <c r="AH17" s="48">
        <f t="shared" si="39"/>
        <v>22</v>
      </c>
      <c r="AI17" s="49"/>
      <c r="AJ17" s="50" t="str">
        <f t="shared" si="9"/>
        <v>Null</v>
      </c>
      <c r="AK17" s="50"/>
      <c r="AL17" s="50" t="str">
        <f t="shared" si="10"/>
        <v>Null</v>
      </c>
      <c r="AM17" s="48">
        <f t="shared" si="11"/>
        <v>0</v>
      </c>
      <c r="AN17" s="81">
        <f t="shared" si="32"/>
        <v>5.5</v>
      </c>
      <c r="AO17" s="48">
        <f t="shared" si="40"/>
        <v>22</v>
      </c>
      <c r="AP17" s="49"/>
      <c r="AQ17" s="50" t="str">
        <f t="shared" si="12"/>
        <v>Null</v>
      </c>
      <c r="AR17" s="50"/>
      <c r="AS17" s="50" t="str">
        <f t="shared" si="33"/>
        <v>Null</v>
      </c>
      <c r="AT17" s="48">
        <f t="shared" si="13"/>
        <v>0</v>
      </c>
      <c r="AU17" s="81">
        <f t="shared" si="34"/>
        <v>5.5</v>
      </c>
      <c r="AV17" s="48">
        <f t="shared" si="41"/>
        <v>22</v>
      </c>
      <c r="AW17" s="49"/>
      <c r="AX17" s="50" t="str">
        <f t="shared" si="14"/>
        <v>Null</v>
      </c>
      <c r="AY17" s="50"/>
      <c r="AZ17" s="50" t="str">
        <f t="shared" si="35"/>
        <v>Null</v>
      </c>
      <c r="BA17" s="44">
        <f t="shared" si="15"/>
        <v>0</v>
      </c>
      <c r="BB17" s="44">
        <f t="shared" si="16"/>
        <v>5.5</v>
      </c>
      <c r="BC17" s="44">
        <f t="shared" si="17"/>
        <v>22</v>
      </c>
      <c r="BD17" s="44">
        <f t="shared" si="18"/>
        <v>0</v>
      </c>
      <c r="BE17" s="45" t="str">
        <f t="shared" si="19"/>
        <v>Null</v>
      </c>
      <c r="BF17" s="45">
        <f t="shared" si="20"/>
        <v>0</v>
      </c>
      <c r="BG17" s="46" t="str">
        <f t="shared" si="21"/>
        <v>Null</v>
      </c>
    </row>
    <row r="18" spans="1:59" s="38" customFormat="1" ht="24">
      <c r="A18" s="39" t="s">
        <v>107</v>
      </c>
      <c r="B18" s="40">
        <v>13</v>
      </c>
      <c r="C18" s="51">
        <v>0.16666666666666699</v>
      </c>
      <c r="D18" s="41">
        <f t="shared" si="0"/>
        <v>0</v>
      </c>
      <c r="E18" s="86">
        <f t="shared" si="22"/>
        <v>5.75</v>
      </c>
      <c r="F18" s="41">
        <f t="shared" si="23"/>
        <v>23</v>
      </c>
      <c r="G18" s="42"/>
      <c r="H18" s="43" t="str">
        <f t="shared" si="1"/>
        <v>Null</v>
      </c>
      <c r="I18" s="43"/>
      <c r="J18" s="43" t="str">
        <f t="shared" si="24"/>
        <v>Null</v>
      </c>
      <c r="K18" s="41">
        <f t="shared" si="2"/>
        <v>0</v>
      </c>
      <c r="L18" s="80">
        <f t="shared" si="25"/>
        <v>5.75</v>
      </c>
      <c r="M18" s="41">
        <f t="shared" si="36"/>
        <v>23</v>
      </c>
      <c r="N18" s="42"/>
      <c r="O18" s="43" t="str">
        <f t="shared" si="3"/>
        <v>Null</v>
      </c>
      <c r="P18" s="43"/>
      <c r="Q18" s="43" t="str">
        <f t="shared" si="26"/>
        <v>Null</v>
      </c>
      <c r="R18" s="41">
        <f t="shared" si="4"/>
        <v>0</v>
      </c>
      <c r="S18" s="80">
        <f t="shared" si="27"/>
        <v>5.75</v>
      </c>
      <c r="T18" s="41">
        <f t="shared" si="37"/>
        <v>23</v>
      </c>
      <c r="U18" s="42"/>
      <c r="V18" s="43" t="str">
        <f t="shared" si="5"/>
        <v>Null</v>
      </c>
      <c r="W18" s="43"/>
      <c r="X18" s="43" t="str">
        <f t="shared" si="28"/>
        <v>Null</v>
      </c>
      <c r="Y18" s="41">
        <f t="shared" si="6"/>
        <v>0</v>
      </c>
      <c r="Z18" s="80">
        <f t="shared" si="29"/>
        <v>5.75</v>
      </c>
      <c r="AA18" s="41">
        <f t="shared" si="38"/>
        <v>23</v>
      </c>
      <c r="AB18" s="42"/>
      <c r="AC18" s="43" t="str">
        <f t="shared" si="7"/>
        <v>Null</v>
      </c>
      <c r="AD18" s="43"/>
      <c r="AE18" s="43" t="str">
        <f t="shared" si="30"/>
        <v>Null</v>
      </c>
      <c r="AF18" s="41">
        <f t="shared" si="8"/>
        <v>0</v>
      </c>
      <c r="AG18" s="80">
        <f t="shared" si="31"/>
        <v>5.75</v>
      </c>
      <c r="AH18" s="41">
        <f t="shared" si="39"/>
        <v>23</v>
      </c>
      <c r="AI18" s="42"/>
      <c r="AJ18" s="43" t="str">
        <f t="shared" si="9"/>
        <v>Null</v>
      </c>
      <c r="AK18" s="43"/>
      <c r="AL18" s="43" t="str">
        <f t="shared" si="10"/>
        <v>Null</v>
      </c>
      <c r="AM18" s="41">
        <f t="shared" si="11"/>
        <v>0</v>
      </c>
      <c r="AN18" s="80">
        <f t="shared" si="32"/>
        <v>5.75</v>
      </c>
      <c r="AO18" s="41">
        <f t="shared" si="40"/>
        <v>23</v>
      </c>
      <c r="AP18" s="42"/>
      <c r="AQ18" s="43" t="str">
        <f t="shared" si="12"/>
        <v>Null</v>
      </c>
      <c r="AR18" s="43"/>
      <c r="AS18" s="43" t="str">
        <f t="shared" si="33"/>
        <v>Null</v>
      </c>
      <c r="AT18" s="41">
        <f t="shared" si="13"/>
        <v>0</v>
      </c>
      <c r="AU18" s="80">
        <f t="shared" si="34"/>
        <v>5.75</v>
      </c>
      <c r="AV18" s="41">
        <f t="shared" si="41"/>
        <v>23</v>
      </c>
      <c r="AW18" s="42"/>
      <c r="AX18" s="43" t="str">
        <f t="shared" si="14"/>
        <v>Null</v>
      </c>
      <c r="AY18" s="43"/>
      <c r="AZ18" s="43" t="str">
        <f t="shared" si="35"/>
        <v>Null</v>
      </c>
      <c r="BA18" s="44">
        <f t="shared" si="15"/>
        <v>0</v>
      </c>
      <c r="BB18" s="44">
        <f t="shared" si="16"/>
        <v>5.75</v>
      </c>
      <c r="BC18" s="44">
        <f t="shared" si="17"/>
        <v>23</v>
      </c>
      <c r="BD18" s="44">
        <f t="shared" si="18"/>
        <v>0</v>
      </c>
      <c r="BE18" s="45" t="str">
        <f t="shared" si="19"/>
        <v>Null</v>
      </c>
      <c r="BF18" s="45">
        <f t="shared" si="20"/>
        <v>0</v>
      </c>
      <c r="BG18" s="46" t="str">
        <f t="shared" si="21"/>
        <v>Null</v>
      </c>
    </row>
    <row r="19" spans="1:59" s="38" customFormat="1" ht="24">
      <c r="A19" s="52" t="s">
        <v>105</v>
      </c>
      <c r="B19" s="53">
        <v>14</v>
      </c>
      <c r="C19" s="47">
        <v>0.17708333333333301</v>
      </c>
      <c r="D19" s="48">
        <f t="shared" si="0"/>
        <v>0</v>
      </c>
      <c r="E19" s="83">
        <f t="shared" si="22"/>
        <v>6</v>
      </c>
      <c r="F19" s="48">
        <f t="shared" si="23"/>
        <v>24</v>
      </c>
      <c r="G19" s="49"/>
      <c r="H19" s="50" t="str">
        <f t="shared" si="1"/>
        <v>Null</v>
      </c>
      <c r="I19" s="50"/>
      <c r="J19" s="50" t="str">
        <f t="shared" si="24"/>
        <v>Null</v>
      </c>
      <c r="K19" s="48">
        <f t="shared" si="2"/>
        <v>0</v>
      </c>
      <c r="L19" s="81">
        <f t="shared" si="25"/>
        <v>6</v>
      </c>
      <c r="M19" s="48">
        <f t="shared" si="36"/>
        <v>24</v>
      </c>
      <c r="N19" s="49"/>
      <c r="O19" s="50" t="str">
        <f t="shared" si="3"/>
        <v>Null</v>
      </c>
      <c r="P19" s="50"/>
      <c r="Q19" s="50" t="str">
        <f t="shared" si="26"/>
        <v>Null</v>
      </c>
      <c r="R19" s="48">
        <f t="shared" si="4"/>
        <v>0</v>
      </c>
      <c r="S19" s="81">
        <f t="shared" si="27"/>
        <v>6</v>
      </c>
      <c r="T19" s="48">
        <f t="shared" si="37"/>
        <v>24</v>
      </c>
      <c r="U19" s="49"/>
      <c r="V19" s="50" t="str">
        <f t="shared" si="5"/>
        <v>Null</v>
      </c>
      <c r="W19" s="50"/>
      <c r="X19" s="50" t="str">
        <f t="shared" si="28"/>
        <v>Null</v>
      </c>
      <c r="Y19" s="48">
        <f t="shared" si="6"/>
        <v>0</v>
      </c>
      <c r="Z19" s="81">
        <f t="shared" si="29"/>
        <v>6</v>
      </c>
      <c r="AA19" s="48">
        <f t="shared" si="38"/>
        <v>24</v>
      </c>
      <c r="AB19" s="49"/>
      <c r="AC19" s="50" t="str">
        <f t="shared" si="7"/>
        <v>Null</v>
      </c>
      <c r="AD19" s="50"/>
      <c r="AE19" s="50" t="str">
        <f t="shared" si="30"/>
        <v>Null</v>
      </c>
      <c r="AF19" s="48">
        <f t="shared" si="8"/>
        <v>0</v>
      </c>
      <c r="AG19" s="81">
        <f t="shared" si="31"/>
        <v>6</v>
      </c>
      <c r="AH19" s="48">
        <f t="shared" si="39"/>
        <v>24</v>
      </c>
      <c r="AI19" s="49"/>
      <c r="AJ19" s="50" t="str">
        <f t="shared" si="9"/>
        <v>Null</v>
      </c>
      <c r="AK19" s="50"/>
      <c r="AL19" s="50" t="str">
        <f t="shared" si="10"/>
        <v>Null</v>
      </c>
      <c r="AM19" s="48">
        <f t="shared" si="11"/>
        <v>0</v>
      </c>
      <c r="AN19" s="81">
        <f t="shared" si="32"/>
        <v>6</v>
      </c>
      <c r="AO19" s="48">
        <f t="shared" si="40"/>
        <v>24</v>
      </c>
      <c r="AP19" s="49"/>
      <c r="AQ19" s="50" t="str">
        <f t="shared" si="12"/>
        <v>Null</v>
      </c>
      <c r="AR19" s="50"/>
      <c r="AS19" s="50" t="str">
        <f t="shared" si="33"/>
        <v>Null</v>
      </c>
      <c r="AT19" s="48">
        <f t="shared" si="13"/>
        <v>0</v>
      </c>
      <c r="AU19" s="81">
        <f t="shared" si="34"/>
        <v>6</v>
      </c>
      <c r="AV19" s="48">
        <f t="shared" si="41"/>
        <v>24</v>
      </c>
      <c r="AW19" s="49"/>
      <c r="AX19" s="50" t="str">
        <f t="shared" si="14"/>
        <v>Null</v>
      </c>
      <c r="AY19" s="50"/>
      <c r="AZ19" s="50" t="str">
        <f t="shared" si="35"/>
        <v>Null</v>
      </c>
      <c r="BA19" s="44">
        <f t="shared" si="15"/>
        <v>0</v>
      </c>
      <c r="BB19" s="44">
        <f t="shared" si="16"/>
        <v>6</v>
      </c>
      <c r="BC19" s="44">
        <f t="shared" si="17"/>
        <v>24</v>
      </c>
      <c r="BD19" s="44">
        <f t="shared" si="18"/>
        <v>0</v>
      </c>
      <c r="BE19" s="45" t="str">
        <f t="shared" si="19"/>
        <v>Null</v>
      </c>
      <c r="BF19" s="45">
        <f t="shared" si="20"/>
        <v>0</v>
      </c>
      <c r="BG19" s="46" t="str">
        <f t="shared" si="21"/>
        <v>Null</v>
      </c>
    </row>
    <row r="20" spans="1:59" s="38" customFormat="1" ht="24">
      <c r="A20" s="39" t="s">
        <v>106</v>
      </c>
      <c r="B20" s="40">
        <v>15</v>
      </c>
      <c r="C20" s="51">
        <v>0.1875</v>
      </c>
      <c r="D20" s="41">
        <f t="shared" si="0"/>
        <v>0</v>
      </c>
      <c r="E20" s="86">
        <f t="shared" si="22"/>
        <v>6.25</v>
      </c>
      <c r="F20" s="41">
        <f t="shared" si="23"/>
        <v>25</v>
      </c>
      <c r="G20" s="42"/>
      <c r="H20" s="43" t="str">
        <f t="shared" si="1"/>
        <v>Null</v>
      </c>
      <c r="I20" s="43"/>
      <c r="J20" s="43" t="str">
        <f t="shared" si="24"/>
        <v>Null</v>
      </c>
      <c r="K20" s="41">
        <f t="shared" si="2"/>
        <v>0</v>
      </c>
      <c r="L20" s="80">
        <f t="shared" si="25"/>
        <v>6.25</v>
      </c>
      <c r="M20" s="41">
        <f t="shared" si="36"/>
        <v>25</v>
      </c>
      <c r="N20" s="42"/>
      <c r="O20" s="43" t="str">
        <f t="shared" si="3"/>
        <v>Null</v>
      </c>
      <c r="P20" s="43"/>
      <c r="Q20" s="43" t="str">
        <f t="shared" si="26"/>
        <v>Null</v>
      </c>
      <c r="R20" s="41">
        <f t="shared" si="4"/>
        <v>0</v>
      </c>
      <c r="S20" s="80">
        <f t="shared" si="27"/>
        <v>6.25</v>
      </c>
      <c r="T20" s="41">
        <f t="shared" si="37"/>
        <v>25</v>
      </c>
      <c r="U20" s="42"/>
      <c r="V20" s="43" t="str">
        <f t="shared" si="5"/>
        <v>Null</v>
      </c>
      <c r="W20" s="43"/>
      <c r="X20" s="43" t="str">
        <f t="shared" si="28"/>
        <v>Null</v>
      </c>
      <c r="Y20" s="41">
        <f t="shared" si="6"/>
        <v>0</v>
      </c>
      <c r="Z20" s="80">
        <f t="shared" si="29"/>
        <v>6.25</v>
      </c>
      <c r="AA20" s="41">
        <f t="shared" si="38"/>
        <v>25</v>
      </c>
      <c r="AB20" s="42"/>
      <c r="AC20" s="43" t="str">
        <f t="shared" si="7"/>
        <v>Null</v>
      </c>
      <c r="AD20" s="43"/>
      <c r="AE20" s="43" t="str">
        <f t="shared" si="30"/>
        <v>Null</v>
      </c>
      <c r="AF20" s="41">
        <f t="shared" si="8"/>
        <v>0</v>
      </c>
      <c r="AG20" s="80">
        <f t="shared" si="31"/>
        <v>6.25</v>
      </c>
      <c r="AH20" s="41">
        <f t="shared" si="39"/>
        <v>25</v>
      </c>
      <c r="AI20" s="42"/>
      <c r="AJ20" s="43" t="str">
        <f t="shared" si="9"/>
        <v>Null</v>
      </c>
      <c r="AK20" s="43"/>
      <c r="AL20" s="43" t="str">
        <f t="shared" si="10"/>
        <v>Null</v>
      </c>
      <c r="AM20" s="41">
        <f t="shared" si="11"/>
        <v>0</v>
      </c>
      <c r="AN20" s="80">
        <f t="shared" si="32"/>
        <v>6.25</v>
      </c>
      <c r="AO20" s="41">
        <f t="shared" si="40"/>
        <v>25</v>
      </c>
      <c r="AP20" s="42"/>
      <c r="AQ20" s="43" t="str">
        <f t="shared" si="12"/>
        <v>Null</v>
      </c>
      <c r="AR20" s="43"/>
      <c r="AS20" s="43" t="str">
        <f t="shared" si="33"/>
        <v>Null</v>
      </c>
      <c r="AT20" s="41">
        <f t="shared" si="13"/>
        <v>0</v>
      </c>
      <c r="AU20" s="80">
        <f t="shared" si="34"/>
        <v>6.25</v>
      </c>
      <c r="AV20" s="41">
        <f t="shared" si="41"/>
        <v>25</v>
      </c>
      <c r="AW20" s="42"/>
      <c r="AX20" s="43" t="str">
        <f t="shared" si="14"/>
        <v>Null</v>
      </c>
      <c r="AY20" s="43"/>
      <c r="AZ20" s="43" t="str">
        <f t="shared" si="35"/>
        <v>Null</v>
      </c>
      <c r="BA20" s="44">
        <f t="shared" si="15"/>
        <v>0</v>
      </c>
      <c r="BB20" s="44">
        <f t="shared" si="16"/>
        <v>6.25</v>
      </c>
      <c r="BC20" s="44">
        <f t="shared" si="17"/>
        <v>25</v>
      </c>
      <c r="BD20" s="44">
        <f t="shared" si="18"/>
        <v>0</v>
      </c>
      <c r="BE20" s="45" t="str">
        <f t="shared" si="19"/>
        <v>Null</v>
      </c>
      <c r="BF20" s="45">
        <f t="shared" si="20"/>
        <v>0</v>
      </c>
      <c r="BG20" s="46" t="str">
        <f t="shared" si="21"/>
        <v>Null</v>
      </c>
    </row>
    <row r="21" spans="1:59" s="38" customFormat="1" ht="24">
      <c r="A21" s="52"/>
      <c r="B21" s="53">
        <v>16</v>
      </c>
      <c r="C21" s="47">
        <v>0.19791666666666699</v>
      </c>
      <c r="D21" s="48">
        <f t="shared" si="0"/>
        <v>0</v>
      </c>
      <c r="E21" s="83">
        <f t="shared" si="22"/>
        <v>6.5</v>
      </c>
      <c r="F21" s="48">
        <f t="shared" si="23"/>
        <v>26</v>
      </c>
      <c r="G21" s="49"/>
      <c r="H21" s="50" t="str">
        <f t="shared" si="1"/>
        <v>Null</v>
      </c>
      <c r="I21" s="50"/>
      <c r="J21" s="50" t="str">
        <f t="shared" si="24"/>
        <v>Null</v>
      </c>
      <c r="K21" s="48">
        <f t="shared" si="2"/>
        <v>0</v>
      </c>
      <c r="L21" s="81">
        <f t="shared" si="25"/>
        <v>6.5</v>
      </c>
      <c r="M21" s="48">
        <f t="shared" si="36"/>
        <v>26</v>
      </c>
      <c r="N21" s="49"/>
      <c r="O21" s="50" t="str">
        <f t="shared" si="3"/>
        <v>Null</v>
      </c>
      <c r="P21" s="50"/>
      <c r="Q21" s="50" t="str">
        <f t="shared" si="26"/>
        <v>Null</v>
      </c>
      <c r="R21" s="48">
        <f t="shared" si="4"/>
        <v>0</v>
      </c>
      <c r="S21" s="81">
        <f t="shared" si="27"/>
        <v>6.5</v>
      </c>
      <c r="T21" s="48">
        <f t="shared" si="37"/>
        <v>26</v>
      </c>
      <c r="U21" s="49"/>
      <c r="V21" s="50" t="str">
        <f t="shared" si="5"/>
        <v>Null</v>
      </c>
      <c r="W21" s="50"/>
      <c r="X21" s="50" t="str">
        <f t="shared" si="28"/>
        <v>Null</v>
      </c>
      <c r="Y21" s="48">
        <f t="shared" si="6"/>
        <v>0</v>
      </c>
      <c r="Z21" s="81">
        <f t="shared" si="29"/>
        <v>6.5</v>
      </c>
      <c r="AA21" s="48">
        <f t="shared" si="38"/>
        <v>26</v>
      </c>
      <c r="AB21" s="49"/>
      <c r="AC21" s="50" t="str">
        <f t="shared" si="7"/>
        <v>Null</v>
      </c>
      <c r="AD21" s="50"/>
      <c r="AE21" s="50" t="str">
        <f t="shared" si="30"/>
        <v>Null</v>
      </c>
      <c r="AF21" s="48">
        <f t="shared" si="8"/>
        <v>0</v>
      </c>
      <c r="AG21" s="81">
        <f t="shared" si="31"/>
        <v>6.5</v>
      </c>
      <c r="AH21" s="48">
        <f t="shared" si="39"/>
        <v>26</v>
      </c>
      <c r="AI21" s="49"/>
      <c r="AJ21" s="50" t="str">
        <f t="shared" si="9"/>
        <v>Null</v>
      </c>
      <c r="AK21" s="50"/>
      <c r="AL21" s="50" t="str">
        <f t="shared" si="10"/>
        <v>Null</v>
      </c>
      <c r="AM21" s="48">
        <f t="shared" si="11"/>
        <v>0</v>
      </c>
      <c r="AN21" s="81">
        <f t="shared" si="32"/>
        <v>6.5</v>
      </c>
      <c r="AO21" s="48">
        <f t="shared" si="40"/>
        <v>26</v>
      </c>
      <c r="AP21" s="49"/>
      <c r="AQ21" s="50" t="str">
        <f t="shared" si="12"/>
        <v>Null</v>
      </c>
      <c r="AR21" s="50"/>
      <c r="AS21" s="50" t="str">
        <f t="shared" si="33"/>
        <v>Null</v>
      </c>
      <c r="AT21" s="48">
        <f t="shared" si="13"/>
        <v>0</v>
      </c>
      <c r="AU21" s="81">
        <f t="shared" si="34"/>
        <v>6.5</v>
      </c>
      <c r="AV21" s="48">
        <f t="shared" si="41"/>
        <v>26</v>
      </c>
      <c r="AW21" s="49"/>
      <c r="AX21" s="50" t="str">
        <f t="shared" si="14"/>
        <v>Null</v>
      </c>
      <c r="AY21" s="50"/>
      <c r="AZ21" s="50" t="str">
        <f t="shared" si="35"/>
        <v>Null</v>
      </c>
      <c r="BA21" s="44">
        <f t="shared" si="15"/>
        <v>0</v>
      </c>
      <c r="BB21" s="44">
        <f t="shared" si="16"/>
        <v>6.5</v>
      </c>
      <c r="BC21" s="44">
        <f t="shared" si="17"/>
        <v>26</v>
      </c>
      <c r="BD21" s="44">
        <f t="shared" si="18"/>
        <v>0</v>
      </c>
      <c r="BE21" s="45" t="str">
        <f t="shared" si="19"/>
        <v>Null</v>
      </c>
      <c r="BF21" s="45">
        <f t="shared" si="20"/>
        <v>0</v>
      </c>
      <c r="BG21" s="46" t="str">
        <f t="shared" si="21"/>
        <v>Null</v>
      </c>
    </row>
    <row r="22" spans="1:59" s="38" customFormat="1" ht="24">
      <c r="A22" s="39"/>
      <c r="B22" s="40">
        <v>17</v>
      </c>
      <c r="C22" s="51">
        <v>0.20833333333333301</v>
      </c>
      <c r="D22" s="41">
        <f t="shared" si="0"/>
        <v>0</v>
      </c>
      <c r="E22" s="86">
        <f t="shared" si="22"/>
        <v>6.75</v>
      </c>
      <c r="F22" s="41">
        <f t="shared" si="23"/>
        <v>27</v>
      </c>
      <c r="G22" s="42"/>
      <c r="H22" s="43" t="str">
        <f t="shared" si="1"/>
        <v>Null</v>
      </c>
      <c r="I22" s="43"/>
      <c r="J22" s="43" t="str">
        <f t="shared" si="24"/>
        <v>Null</v>
      </c>
      <c r="K22" s="41">
        <f t="shared" si="2"/>
        <v>0</v>
      </c>
      <c r="L22" s="80">
        <f t="shared" si="25"/>
        <v>6.75</v>
      </c>
      <c r="M22" s="41">
        <f t="shared" si="36"/>
        <v>27</v>
      </c>
      <c r="N22" s="42"/>
      <c r="O22" s="43" t="str">
        <f t="shared" si="3"/>
        <v>Null</v>
      </c>
      <c r="P22" s="43"/>
      <c r="Q22" s="43" t="str">
        <f t="shared" si="26"/>
        <v>Null</v>
      </c>
      <c r="R22" s="41">
        <f t="shared" si="4"/>
        <v>0</v>
      </c>
      <c r="S22" s="80">
        <f t="shared" si="27"/>
        <v>6.75</v>
      </c>
      <c r="T22" s="41">
        <f t="shared" si="37"/>
        <v>27</v>
      </c>
      <c r="U22" s="42"/>
      <c r="V22" s="43" t="str">
        <f t="shared" si="5"/>
        <v>Null</v>
      </c>
      <c r="W22" s="43"/>
      <c r="X22" s="43" t="str">
        <f t="shared" si="28"/>
        <v>Null</v>
      </c>
      <c r="Y22" s="41">
        <f t="shared" si="6"/>
        <v>0</v>
      </c>
      <c r="Z22" s="80">
        <f t="shared" si="29"/>
        <v>6.75</v>
      </c>
      <c r="AA22" s="41">
        <f t="shared" si="38"/>
        <v>27</v>
      </c>
      <c r="AB22" s="42"/>
      <c r="AC22" s="43" t="str">
        <f t="shared" si="7"/>
        <v>Null</v>
      </c>
      <c r="AD22" s="43"/>
      <c r="AE22" s="43" t="str">
        <f t="shared" si="30"/>
        <v>Null</v>
      </c>
      <c r="AF22" s="41">
        <f t="shared" si="8"/>
        <v>0</v>
      </c>
      <c r="AG22" s="80">
        <f t="shared" si="31"/>
        <v>6.75</v>
      </c>
      <c r="AH22" s="41">
        <f t="shared" si="39"/>
        <v>27</v>
      </c>
      <c r="AI22" s="42"/>
      <c r="AJ22" s="43" t="str">
        <f t="shared" si="9"/>
        <v>Null</v>
      </c>
      <c r="AK22" s="43"/>
      <c r="AL22" s="43" t="str">
        <f t="shared" si="10"/>
        <v>Null</v>
      </c>
      <c r="AM22" s="41">
        <f t="shared" si="11"/>
        <v>0</v>
      </c>
      <c r="AN22" s="80">
        <f t="shared" si="32"/>
        <v>6.75</v>
      </c>
      <c r="AO22" s="41">
        <f t="shared" si="40"/>
        <v>27</v>
      </c>
      <c r="AP22" s="42"/>
      <c r="AQ22" s="43" t="str">
        <f t="shared" si="12"/>
        <v>Null</v>
      </c>
      <c r="AR22" s="43"/>
      <c r="AS22" s="43" t="str">
        <f t="shared" si="33"/>
        <v>Null</v>
      </c>
      <c r="AT22" s="41">
        <f t="shared" si="13"/>
        <v>0</v>
      </c>
      <c r="AU22" s="80">
        <f t="shared" si="34"/>
        <v>6.75</v>
      </c>
      <c r="AV22" s="41">
        <f t="shared" si="41"/>
        <v>27</v>
      </c>
      <c r="AW22" s="42"/>
      <c r="AX22" s="43" t="str">
        <f t="shared" si="14"/>
        <v>Null</v>
      </c>
      <c r="AY22" s="43"/>
      <c r="AZ22" s="43" t="str">
        <f t="shared" si="35"/>
        <v>Null</v>
      </c>
      <c r="BA22" s="44">
        <f t="shared" si="15"/>
        <v>0</v>
      </c>
      <c r="BB22" s="44">
        <f t="shared" si="16"/>
        <v>6.75</v>
      </c>
      <c r="BC22" s="44">
        <f t="shared" si="17"/>
        <v>27</v>
      </c>
      <c r="BD22" s="44">
        <f t="shared" si="18"/>
        <v>0</v>
      </c>
      <c r="BE22" s="45" t="str">
        <f t="shared" si="19"/>
        <v>Null</v>
      </c>
      <c r="BF22" s="45">
        <f t="shared" si="20"/>
        <v>0</v>
      </c>
      <c r="BG22" s="46" t="str">
        <f t="shared" si="21"/>
        <v>Null</v>
      </c>
    </row>
    <row r="23" spans="1:59" s="38" customFormat="1" ht="24">
      <c r="A23" s="52"/>
      <c r="B23" s="53">
        <v>18</v>
      </c>
      <c r="C23" s="47">
        <v>0.21875</v>
      </c>
      <c r="D23" s="48">
        <f t="shared" si="0"/>
        <v>23</v>
      </c>
      <c r="E23" s="83">
        <f t="shared" si="22"/>
        <v>7</v>
      </c>
      <c r="F23" s="48">
        <f t="shared" si="23"/>
        <v>28</v>
      </c>
      <c r="G23" s="49"/>
      <c r="H23" s="50" t="str">
        <f t="shared" si="1"/>
        <v>Null</v>
      </c>
      <c r="I23" s="50"/>
      <c r="J23" s="50" t="str">
        <f t="shared" si="24"/>
        <v>Null</v>
      </c>
      <c r="K23" s="48">
        <f t="shared" si="2"/>
        <v>23</v>
      </c>
      <c r="L23" s="81">
        <f t="shared" si="25"/>
        <v>7</v>
      </c>
      <c r="M23" s="48">
        <f t="shared" si="36"/>
        <v>28</v>
      </c>
      <c r="N23" s="49"/>
      <c r="O23" s="50" t="str">
        <f t="shared" si="3"/>
        <v>Null</v>
      </c>
      <c r="P23" s="50"/>
      <c r="Q23" s="50" t="str">
        <f t="shared" si="26"/>
        <v>Null</v>
      </c>
      <c r="R23" s="48">
        <f t="shared" si="4"/>
        <v>23</v>
      </c>
      <c r="S23" s="81">
        <f t="shared" si="27"/>
        <v>7</v>
      </c>
      <c r="T23" s="48">
        <f t="shared" si="37"/>
        <v>28</v>
      </c>
      <c r="U23" s="49"/>
      <c r="V23" s="50" t="str">
        <f t="shared" si="5"/>
        <v>Null</v>
      </c>
      <c r="W23" s="50"/>
      <c r="X23" s="50" t="str">
        <f t="shared" si="28"/>
        <v>Null</v>
      </c>
      <c r="Y23" s="48">
        <f t="shared" si="6"/>
        <v>23</v>
      </c>
      <c r="Z23" s="81">
        <f t="shared" si="29"/>
        <v>7</v>
      </c>
      <c r="AA23" s="48">
        <f t="shared" si="38"/>
        <v>28</v>
      </c>
      <c r="AB23" s="49"/>
      <c r="AC23" s="50" t="str">
        <f t="shared" si="7"/>
        <v>Null</v>
      </c>
      <c r="AD23" s="50"/>
      <c r="AE23" s="50" t="str">
        <f t="shared" si="30"/>
        <v>Null</v>
      </c>
      <c r="AF23" s="48">
        <f t="shared" si="8"/>
        <v>23</v>
      </c>
      <c r="AG23" s="81">
        <f t="shared" si="31"/>
        <v>7</v>
      </c>
      <c r="AH23" s="48">
        <f t="shared" si="39"/>
        <v>28</v>
      </c>
      <c r="AI23" s="49"/>
      <c r="AJ23" s="50" t="str">
        <f t="shared" si="9"/>
        <v>Null</v>
      </c>
      <c r="AK23" s="50"/>
      <c r="AL23" s="50" t="str">
        <f t="shared" si="10"/>
        <v>Null</v>
      </c>
      <c r="AM23" s="48">
        <f t="shared" si="11"/>
        <v>23</v>
      </c>
      <c r="AN23" s="81">
        <f t="shared" si="32"/>
        <v>7</v>
      </c>
      <c r="AO23" s="48">
        <f t="shared" si="40"/>
        <v>28</v>
      </c>
      <c r="AP23" s="49"/>
      <c r="AQ23" s="50" t="str">
        <f t="shared" si="12"/>
        <v>Null</v>
      </c>
      <c r="AR23" s="50"/>
      <c r="AS23" s="50" t="str">
        <f t="shared" si="33"/>
        <v>Null</v>
      </c>
      <c r="AT23" s="48">
        <f t="shared" si="13"/>
        <v>23</v>
      </c>
      <c r="AU23" s="81">
        <f t="shared" si="34"/>
        <v>7</v>
      </c>
      <c r="AV23" s="48">
        <f t="shared" si="41"/>
        <v>28</v>
      </c>
      <c r="AW23" s="49"/>
      <c r="AX23" s="50" t="str">
        <f t="shared" si="14"/>
        <v>Null</v>
      </c>
      <c r="AY23" s="50"/>
      <c r="AZ23" s="50" t="str">
        <f t="shared" si="35"/>
        <v>Null</v>
      </c>
      <c r="BA23" s="44">
        <f t="shared" si="15"/>
        <v>23</v>
      </c>
      <c r="BB23" s="44">
        <f t="shared" si="16"/>
        <v>7</v>
      </c>
      <c r="BC23" s="44">
        <f t="shared" si="17"/>
        <v>28</v>
      </c>
      <c r="BD23" s="44">
        <f t="shared" si="18"/>
        <v>0</v>
      </c>
      <c r="BE23" s="45" t="str">
        <f t="shared" si="19"/>
        <v>Null</v>
      </c>
      <c r="BF23" s="45">
        <f t="shared" si="20"/>
        <v>0</v>
      </c>
      <c r="BG23" s="46" t="str">
        <f t="shared" si="21"/>
        <v>Null</v>
      </c>
    </row>
    <row r="24" spans="1:59" s="38" customFormat="1" ht="24">
      <c r="A24" s="39"/>
      <c r="B24" s="40">
        <v>19</v>
      </c>
      <c r="C24" s="51">
        <v>0.22916666666666699</v>
      </c>
      <c r="D24" s="41">
        <f t="shared" si="0"/>
        <v>0</v>
      </c>
      <c r="E24" s="86">
        <f t="shared" si="22"/>
        <v>0.25</v>
      </c>
      <c r="F24" s="41">
        <f t="shared" si="23"/>
        <v>1</v>
      </c>
      <c r="G24" s="42">
        <v>30</v>
      </c>
      <c r="H24" s="43" t="str">
        <f t="shared" si="1"/>
        <v>Free</v>
      </c>
      <c r="I24" s="43"/>
      <c r="J24" s="43" t="str">
        <f t="shared" si="24"/>
        <v>Free</v>
      </c>
      <c r="K24" s="41">
        <f t="shared" si="2"/>
        <v>0</v>
      </c>
      <c r="L24" s="80">
        <f t="shared" si="25"/>
        <v>0.25</v>
      </c>
      <c r="M24" s="41">
        <f t="shared" si="36"/>
        <v>1</v>
      </c>
      <c r="N24" s="42">
        <v>30</v>
      </c>
      <c r="O24" s="43" t="str">
        <f t="shared" si="3"/>
        <v>Free</v>
      </c>
      <c r="P24" s="43"/>
      <c r="Q24" s="43" t="str">
        <f t="shared" si="26"/>
        <v>Free</v>
      </c>
      <c r="R24" s="41">
        <f t="shared" si="4"/>
        <v>0</v>
      </c>
      <c r="S24" s="80">
        <f t="shared" si="27"/>
        <v>0.25</v>
      </c>
      <c r="T24" s="41">
        <f t="shared" si="37"/>
        <v>1</v>
      </c>
      <c r="U24" s="42">
        <v>30</v>
      </c>
      <c r="V24" s="43" t="str">
        <f t="shared" si="5"/>
        <v>Free</v>
      </c>
      <c r="W24" s="43"/>
      <c r="X24" s="43" t="str">
        <f t="shared" si="28"/>
        <v>Free</v>
      </c>
      <c r="Y24" s="41">
        <f t="shared" si="6"/>
        <v>0</v>
      </c>
      <c r="Z24" s="80">
        <f t="shared" si="29"/>
        <v>0.25</v>
      </c>
      <c r="AA24" s="41">
        <f t="shared" si="38"/>
        <v>1</v>
      </c>
      <c r="AB24" s="42">
        <v>30</v>
      </c>
      <c r="AC24" s="43" t="str">
        <f t="shared" si="7"/>
        <v>Free</v>
      </c>
      <c r="AD24" s="43"/>
      <c r="AE24" s="43" t="str">
        <f t="shared" si="30"/>
        <v>Free</v>
      </c>
      <c r="AF24" s="41">
        <f t="shared" si="8"/>
        <v>0</v>
      </c>
      <c r="AG24" s="80">
        <f t="shared" si="31"/>
        <v>0.25</v>
      </c>
      <c r="AH24" s="41">
        <f t="shared" si="39"/>
        <v>1</v>
      </c>
      <c r="AI24" s="42">
        <v>30</v>
      </c>
      <c r="AJ24" s="43" t="str">
        <f t="shared" si="9"/>
        <v>Free</v>
      </c>
      <c r="AK24" s="43"/>
      <c r="AL24" s="43" t="str">
        <f t="shared" si="10"/>
        <v>Free</v>
      </c>
      <c r="AM24" s="41">
        <f t="shared" si="11"/>
        <v>0</v>
      </c>
      <c r="AN24" s="80">
        <f t="shared" si="32"/>
        <v>0.25</v>
      </c>
      <c r="AO24" s="41">
        <f t="shared" si="40"/>
        <v>1</v>
      </c>
      <c r="AP24" s="42">
        <v>30</v>
      </c>
      <c r="AQ24" s="43" t="str">
        <f t="shared" si="12"/>
        <v>Free</v>
      </c>
      <c r="AR24" s="43"/>
      <c r="AS24" s="43" t="str">
        <f t="shared" si="33"/>
        <v>Free</v>
      </c>
      <c r="AT24" s="41">
        <f t="shared" si="13"/>
        <v>0</v>
      </c>
      <c r="AU24" s="80">
        <f t="shared" si="34"/>
        <v>0.25</v>
      </c>
      <c r="AV24" s="41">
        <f t="shared" si="41"/>
        <v>1</v>
      </c>
      <c r="AW24" s="42">
        <v>30</v>
      </c>
      <c r="AX24" s="43" t="str">
        <f t="shared" si="14"/>
        <v>Free</v>
      </c>
      <c r="AY24" s="43"/>
      <c r="AZ24" s="43" t="str">
        <f t="shared" si="35"/>
        <v>Free</v>
      </c>
      <c r="BA24" s="44">
        <f t="shared" si="15"/>
        <v>0</v>
      </c>
      <c r="BB24" s="44">
        <f t="shared" si="16"/>
        <v>0.25</v>
      </c>
      <c r="BC24" s="44">
        <f t="shared" si="17"/>
        <v>1</v>
      </c>
      <c r="BD24" s="44">
        <f t="shared" si="18"/>
        <v>30</v>
      </c>
      <c r="BE24" s="45" t="str">
        <f t="shared" si="19"/>
        <v>Free</v>
      </c>
      <c r="BF24" s="45">
        <f t="shared" si="20"/>
        <v>0</v>
      </c>
      <c r="BG24" s="46" t="str">
        <f t="shared" si="21"/>
        <v>Free</v>
      </c>
    </row>
    <row r="25" spans="1:59" s="38" customFormat="1" ht="24">
      <c r="A25" s="52"/>
      <c r="B25" s="53">
        <v>20</v>
      </c>
      <c r="C25" s="47">
        <v>0.23958333333333301</v>
      </c>
      <c r="D25" s="48">
        <f t="shared" si="0"/>
        <v>0</v>
      </c>
      <c r="E25" s="83">
        <f t="shared" si="22"/>
        <v>0.5</v>
      </c>
      <c r="F25" s="48">
        <f t="shared" si="23"/>
        <v>2</v>
      </c>
      <c r="G25" s="49">
        <v>30</v>
      </c>
      <c r="H25" s="50" t="str">
        <f t="shared" si="1"/>
        <v>Free</v>
      </c>
      <c r="I25" s="50"/>
      <c r="J25" s="50" t="str">
        <f t="shared" si="24"/>
        <v>Free</v>
      </c>
      <c r="K25" s="48">
        <f t="shared" si="2"/>
        <v>0</v>
      </c>
      <c r="L25" s="81">
        <f t="shared" si="25"/>
        <v>0.5</v>
      </c>
      <c r="M25" s="48">
        <f t="shared" si="36"/>
        <v>2</v>
      </c>
      <c r="N25" s="49">
        <v>30</v>
      </c>
      <c r="O25" s="50" t="str">
        <f t="shared" si="3"/>
        <v>Free</v>
      </c>
      <c r="P25" s="50"/>
      <c r="Q25" s="50" t="str">
        <f t="shared" si="26"/>
        <v>Free</v>
      </c>
      <c r="R25" s="48">
        <f t="shared" si="4"/>
        <v>0</v>
      </c>
      <c r="S25" s="81">
        <f t="shared" si="27"/>
        <v>0.5</v>
      </c>
      <c r="T25" s="48">
        <f t="shared" si="37"/>
        <v>2</v>
      </c>
      <c r="U25" s="49">
        <v>30</v>
      </c>
      <c r="V25" s="50" t="str">
        <f t="shared" si="5"/>
        <v>Free</v>
      </c>
      <c r="W25" s="50"/>
      <c r="X25" s="50" t="str">
        <f t="shared" si="28"/>
        <v>Free</v>
      </c>
      <c r="Y25" s="48">
        <f t="shared" si="6"/>
        <v>0</v>
      </c>
      <c r="Z25" s="81">
        <f t="shared" si="29"/>
        <v>0.5</v>
      </c>
      <c r="AA25" s="48">
        <f t="shared" si="38"/>
        <v>2</v>
      </c>
      <c r="AB25" s="49">
        <v>30</v>
      </c>
      <c r="AC25" s="50" t="str">
        <f t="shared" si="7"/>
        <v>Free</v>
      </c>
      <c r="AD25" s="50"/>
      <c r="AE25" s="50" t="str">
        <f t="shared" si="30"/>
        <v>Free</v>
      </c>
      <c r="AF25" s="48">
        <f t="shared" si="8"/>
        <v>0</v>
      </c>
      <c r="AG25" s="81">
        <f t="shared" si="31"/>
        <v>0.5</v>
      </c>
      <c r="AH25" s="48">
        <f t="shared" si="39"/>
        <v>2</v>
      </c>
      <c r="AI25" s="49">
        <v>30</v>
      </c>
      <c r="AJ25" s="50" t="str">
        <f t="shared" si="9"/>
        <v>Free</v>
      </c>
      <c r="AK25" s="50"/>
      <c r="AL25" s="50" t="str">
        <f t="shared" si="10"/>
        <v>Free</v>
      </c>
      <c r="AM25" s="48">
        <f t="shared" si="11"/>
        <v>0</v>
      </c>
      <c r="AN25" s="81">
        <f t="shared" si="32"/>
        <v>0.5</v>
      </c>
      <c r="AO25" s="48">
        <f t="shared" si="40"/>
        <v>2</v>
      </c>
      <c r="AP25" s="49">
        <v>30</v>
      </c>
      <c r="AQ25" s="50" t="str">
        <f t="shared" si="12"/>
        <v>Free</v>
      </c>
      <c r="AR25" s="50"/>
      <c r="AS25" s="50" t="str">
        <f t="shared" si="33"/>
        <v>Free</v>
      </c>
      <c r="AT25" s="48">
        <f t="shared" si="13"/>
        <v>0</v>
      </c>
      <c r="AU25" s="81">
        <f t="shared" si="34"/>
        <v>0.5</v>
      </c>
      <c r="AV25" s="48">
        <f t="shared" si="41"/>
        <v>2</v>
      </c>
      <c r="AW25" s="49">
        <v>30</v>
      </c>
      <c r="AX25" s="50" t="str">
        <f t="shared" si="14"/>
        <v>Free</v>
      </c>
      <c r="AY25" s="50"/>
      <c r="AZ25" s="50" t="str">
        <f t="shared" si="35"/>
        <v>Free</v>
      </c>
      <c r="BA25" s="44">
        <f t="shared" si="15"/>
        <v>0</v>
      </c>
      <c r="BB25" s="44">
        <f t="shared" si="16"/>
        <v>0.5</v>
      </c>
      <c r="BC25" s="44">
        <f t="shared" si="17"/>
        <v>2</v>
      </c>
      <c r="BD25" s="44">
        <f t="shared" si="18"/>
        <v>30</v>
      </c>
      <c r="BE25" s="45" t="str">
        <f t="shared" si="19"/>
        <v>Free</v>
      </c>
      <c r="BF25" s="45">
        <f t="shared" si="20"/>
        <v>0</v>
      </c>
      <c r="BG25" s="46" t="str">
        <f t="shared" si="21"/>
        <v>Free</v>
      </c>
    </row>
    <row r="26" spans="1:59" s="38" customFormat="1" ht="24">
      <c r="A26" s="39"/>
      <c r="B26" s="40">
        <v>21</v>
      </c>
      <c r="C26" s="51">
        <v>0.25</v>
      </c>
      <c r="D26" s="41">
        <f t="shared" si="0"/>
        <v>0</v>
      </c>
      <c r="E26" s="86">
        <f t="shared" si="22"/>
        <v>0.75</v>
      </c>
      <c r="F26" s="41">
        <f t="shared" si="23"/>
        <v>3</v>
      </c>
      <c r="G26" s="42">
        <v>30</v>
      </c>
      <c r="H26" s="43" t="str">
        <f t="shared" si="1"/>
        <v>Free</v>
      </c>
      <c r="I26" s="43"/>
      <c r="J26" s="43" t="str">
        <f t="shared" si="24"/>
        <v>Free</v>
      </c>
      <c r="K26" s="41">
        <f t="shared" si="2"/>
        <v>0</v>
      </c>
      <c r="L26" s="80">
        <f t="shared" si="25"/>
        <v>0.75</v>
      </c>
      <c r="M26" s="41">
        <f t="shared" si="36"/>
        <v>3</v>
      </c>
      <c r="N26" s="42">
        <v>30</v>
      </c>
      <c r="O26" s="43" t="str">
        <f t="shared" si="3"/>
        <v>Free</v>
      </c>
      <c r="P26" s="43"/>
      <c r="Q26" s="43" t="str">
        <f t="shared" si="26"/>
        <v>Free</v>
      </c>
      <c r="R26" s="41">
        <f t="shared" si="4"/>
        <v>0</v>
      </c>
      <c r="S26" s="80">
        <f t="shared" si="27"/>
        <v>0.75</v>
      </c>
      <c r="T26" s="41">
        <f t="shared" si="37"/>
        <v>3</v>
      </c>
      <c r="U26" s="42">
        <v>30</v>
      </c>
      <c r="V26" s="43" t="str">
        <f t="shared" si="5"/>
        <v>Free</v>
      </c>
      <c r="W26" s="43"/>
      <c r="X26" s="43" t="str">
        <f t="shared" si="28"/>
        <v>Free</v>
      </c>
      <c r="Y26" s="41">
        <f t="shared" si="6"/>
        <v>0</v>
      </c>
      <c r="Z26" s="80">
        <f t="shared" si="29"/>
        <v>0.75</v>
      </c>
      <c r="AA26" s="41">
        <f t="shared" si="38"/>
        <v>3</v>
      </c>
      <c r="AB26" s="42">
        <v>30</v>
      </c>
      <c r="AC26" s="43" t="str">
        <f t="shared" si="7"/>
        <v>Free</v>
      </c>
      <c r="AD26" s="43"/>
      <c r="AE26" s="43" t="str">
        <f t="shared" si="30"/>
        <v>Free</v>
      </c>
      <c r="AF26" s="41">
        <f t="shared" si="8"/>
        <v>0</v>
      </c>
      <c r="AG26" s="80">
        <f t="shared" si="31"/>
        <v>0.75</v>
      </c>
      <c r="AH26" s="41">
        <f t="shared" si="39"/>
        <v>3</v>
      </c>
      <c r="AI26" s="42">
        <v>30</v>
      </c>
      <c r="AJ26" s="43" t="str">
        <f t="shared" si="9"/>
        <v>Free</v>
      </c>
      <c r="AK26" s="43"/>
      <c r="AL26" s="43" t="str">
        <f t="shared" si="10"/>
        <v>Free</v>
      </c>
      <c r="AM26" s="41">
        <f t="shared" si="11"/>
        <v>0</v>
      </c>
      <c r="AN26" s="80">
        <f t="shared" si="32"/>
        <v>0.75</v>
      </c>
      <c r="AO26" s="41">
        <f t="shared" si="40"/>
        <v>3</v>
      </c>
      <c r="AP26" s="42">
        <v>30</v>
      </c>
      <c r="AQ26" s="43" t="str">
        <f t="shared" si="12"/>
        <v>Free</v>
      </c>
      <c r="AR26" s="43"/>
      <c r="AS26" s="43" t="str">
        <f t="shared" si="33"/>
        <v>Free</v>
      </c>
      <c r="AT26" s="41">
        <f t="shared" si="13"/>
        <v>0</v>
      </c>
      <c r="AU26" s="80">
        <f t="shared" si="34"/>
        <v>0.75</v>
      </c>
      <c r="AV26" s="41">
        <f t="shared" si="41"/>
        <v>3</v>
      </c>
      <c r="AW26" s="42">
        <v>30</v>
      </c>
      <c r="AX26" s="43" t="str">
        <f t="shared" si="14"/>
        <v>Free</v>
      </c>
      <c r="AY26" s="43"/>
      <c r="AZ26" s="43" t="str">
        <f t="shared" si="35"/>
        <v>Free</v>
      </c>
      <c r="BA26" s="44">
        <f t="shared" si="15"/>
        <v>0</v>
      </c>
      <c r="BB26" s="44">
        <f t="shared" si="16"/>
        <v>0.75</v>
      </c>
      <c r="BC26" s="44">
        <f t="shared" si="17"/>
        <v>3</v>
      </c>
      <c r="BD26" s="44">
        <f t="shared" si="18"/>
        <v>30</v>
      </c>
      <c r="BE26" s="45" t="str">
        <f t="shared" si="19"/>
        <v>Free</v>
      </c>
      <c r="BF26" s="45">
        <f t="shared" si="20"/>
        <v>0</v>
      </c>
      <c r="BG26" s="46" t="str">
        <f t="shared" si="21"/>
        <v>Free</v>
      </c>
    </row>
    <row r="27" spans="1:59" s="38" customFormat="1" ht="24">
      <c r="A27" s="52" t="s">
        <v>108</v>
      </c>
      <c r="B27" s="53">
        <v>22</v>
      </c>
      <c r="C27" s="47">
        <v>0.26041666666666702</v>
      </c>
      <c r="D27" s="48">
        <f t="shared" si="0"/>
        <v>27</v>
      </c>
      <c r="E27" s="83">
        <f t="shared" si="22"/>
        <v>1</v>
      </c>
      <c r="F27" s="48">
        <f t="shared" si="23"/>
        <v>4</v>
      </c>
      <c r="G27" s="49">
        <v>30</v>
      </c>
      <c r="H27" s="50" t="str">
        <f t="shared" si="1"/>
        <v>Free</v>
      </c>
      <c r="I27" s="50"/>
      <c r="J27" s="50" t="str">
        <f t="shared" si="24"/>
        <v>Free</v>
      </c>
      <c r="K27" s="48">
        <f t="shared" si="2"/>
        <v>27</v>
      </c>
      <c r="L27" s="81">
        <f t="shared" si="25"/>
        <v>1</v>
      </c>
      <c r="M27" s="48">
        <f t="shared" si="36"/>
        <v>4</v>
      </c>
      <c r="N27" s="49">
        <v>30</v>
      </c>
      <c r="O27" s="50" t="str">
        <f t="shared" si="3"/>
        <v>Free</v>
      </c>
      <c r="P27" s="50"/>
      <c r="Q27" s="50" t="str">
        <f t="shared" si="26"/>
        <v>Free</v>
      </c>
      <c r="R27" s="48">
        <f t="shared" si="4"/>
        <v>27</v>
      </c>
      <c r="S27" s="81">
        <f t="shared" si="27"/>
        <v>1</v>
      </c>
      <c r="T27" s="48">
        <f t="shared" si="37"/>
        <v>4</v>
      </c>
      <c r="U27" s="49">
        <v>30</v>
      </c>
      <c r="V27" s="50" t="str">
        <f t="shared" si="5"/>
        <v>Free</v>
      </c>
      <c r="W27" s="50"/>
      <c r="X27" s="50" t="str">
        <f t="shared" si="28"/>
        <v>Free</v>
      </c>
      <c r="Y27" s="48">
        <f t="shared" si="6"/>
        <v>27</v>
      </c>
      <c r="Z27" s="81">
        <f t="shared" si="29"/>
        <v>1</v>
      </c>
      <c r="AA27" s="48">
        <f t="shared" si="38"/>
        <v>4</v>
      </c>
      <c r="AB27" s="49">
        <v>30</v>
      </c>
      <c r="AC27" s="50" t="str">
        <f t="shared" si="7"/>
        <v>Free</v>
      </c>
      <c r="AD27" s="50"/>
      <c r="AE27" s="50" t="str">
        <f t="shared" si="30"/>
        <v>Free</v>
      </c>
      <c r="AF27" s="48">
        <f t="shared" si="8"/>
        <v>27</v>
      </c>
      <c r="AG27" s="81">
        <f t="shared" si="31"/>
        <v>1</v>
      </c>
      <c r="AH27" s="48">
        <f t="shared" si="39"/>
        <v>4</v>
      </c>
      <c r="AI27" s="49">
        <v>30</v>
      </c>
      <c r="AJ27" s="50" t="str">
        <f t="shared" si="9"/>
        <v>Free</v>
      </c>
      <c r="AK27" s="50"/>
      <c r="AL27" s="50" t="str">
        <f t="shared" si="10"/>
        <v>Free</v>
      </c>
      <c r="AM27" s="48">
        <f t="shared" si="11"/>
        <v>27</v>
      </c>
      <c r="AN27" s="81">
        <f t="shared" si="32"/>
        <v>1</v>
      </c>
      <c r="AO27" s="48">
        <f t="shared" si="40"/>
        <v>4</v>
      </c>
      <c r="AP27" s="49">
        <v>30</v>
      </c>
      <c r="AQ27" s="50" t="str">
        <f t="shared" si="12"/>
        <v>Free</v>
      </c>
      <c r="AR27" s="50"/>
      <c r="AS27" s="50" t="str">
        <f t="shared" si="33"/>
        <v>Free</v>
      </c>
      <c r="AT27" s="48">
        <f t="shared" si="13"/>
        <v>27</v>
      </c>
      <c r="AU27" s="81">
        <f t="shared" si="34"/>
        <v>1</v>
      </c>
      <c r="AV27" s="48">
        <f t="shared" si="41"/>
        <v>4</v>
      </c>
      <c r="AW27" s="49">
        <v>30</v>
      </c>
      <c r="AX27" s="50" t="str">
        <f t="shared" si="14"/>
        <v>Free</v>
      </c>
      <c r="AY27" s="50"/>
      <c r="AZ27" s="50" t="str">
        <f t="shared" si="35"/>
        <v>Free</v>
      </c>
      <c r="BA27" s="44">
        <f t="shared" si="15"/>
        <v>27</v>
      </c>
      <c r="BB27" s="44">
        <f t="shared" si="16"/>
        <v>1</v>
      </c>
      <c r="BC27" s="44">
        <f t="shared" si="17"/>
        <v>4</v>
      </c>
      <c r="BD27" s="44">
        <f t="shared" si="18"/>
        <v>30</v>
      </c>
      <c r="BE27" s="45" t="str">
        <f t="shared" si="19"/>
        <v>Free</v>
      </c>
      <c r="BF27" s="45">
        <f t="shared" si="20"/>
        <v>0</v>
      </c>
      <c r="BG27" s="46" t="str">
        <f t="shared" si="21"/>
        <v>Free</v>
      </c>
    </row>
    <row r="28" spans="1:59" s="38" customFormat="1" ht="24">
      <c r="A28" s="39" t="s">
        <v>109</v>
      </c>
      <c r="B28" s="40">
        <v>23</v>
      </c>
      <c r="C28" s="51">
        <v>0.27083333333333298</v>
      </c>
      <c r="D28" s="41">
        <f t="shared" si="0"/>
        <v>0</v>
      </c>
      <c r="E28" s="86">
        <f t="shared" si="22"/>
        <v>0.25</v>
      </c>
      <c r="F28" s="41">
        <f t="shared" si="23"/>
        <v>1</v>
      </c>
      <c r="G28" s="42">
        <v>12</v>
      </c>
      <c r="H28" s="43" t="str">
        <f t="shared" si="1"/>
        <v>On the go</v>
      </c>
      <c r="I28" s="43"/>
      <c r="J28" s="43" t="str">
        <f t="shared" si="24"/>
        <v>On the go</v>
      </c>
      <c r="K28" s="41">
        <f t="shared" si="2"/>
        <v>0</v>
      </c>
      <c r="L28" s="80">
        <f t="shared" si="25"/>
        <v>0.25</v>
      </c>
      <c r="M28" s="41">
        <f t="shared" si="36"/>
        <v>1</v>
      </c>
      <c r="N28" s="42">
        <v>12</v>
      </c>
      <c r="O28" s="43" t="str">
        <f t="shared" si="3"/>
        <v>On the go</v>
      </c>
      <c r="P28" s="43"/>
      <c r="Q28" s="43" t="str">
        <f t="shared" si="26"/>
        <v>On the go</v>
      </c>
      <c r="R28" s="41">
        <f t="shared" si="4"/>
        <v>0</v>
      </c>
      <c r="S28" s="80">
        <f t="shared" si="27"/>
        <v>0.25</v>
      </c>
      <c r="T28" s="41">
        <f t="shared" si="37"/>
        <v>1</v>
      </c>
      <c r="U28" s="42">
        <v>12</v>
      </c>
      <c r="V28" s="43" t="str">
        <f t="shared" si="5"/>
        <v>On the go</v>
      </c>
      <c r="W28" s="43"/>
      <c r="X28" s="43" t="str">
        <f t="shared" si="28"/>
        <v>On the go</v>
      </c>
      <c r="Y28" s="41">
        <f t="shared" si="6"/>
        <v>0</v>
      </c>
      <c r="Z28" s="80">
        <f t="shared" si="29"/>
        <v>0.25</v>
      </c>
      <c r="AA28" s="41">
        <f t="shared" si="38"/>
        <v>1</v>
      </c>
      <c r="AB28" s="42">
        <v>12</v>
      </c>
      <c r="AC28" s="43" t="str">
        <f t="shared" si="7"/>
        <v>On the go</v>
      </c>
      <c r="AD28" s="43"/>
      <c r="AE28" s="43" t="str">
        <f t="shared" si="30"/>
        <v>On the go</v>
      </c>
      <c r="AF28" s="41">
        <f t="shared" si="8"/>
        <v>0</v>
      </c>
      <c r="AG28" s="80">
        <f t="shared" si="31"/>
        <v>0.25</v>
      </c>
      <c r="AH28" s="41">
        <f t="shared" si="39"/>
        <v>1</v>
      </c>
      <c r="AI28" s="42">
        <v>12</v>
      </c>
      <c r="AJ28" s="43" t="str">
        <f t="shared" si="9"/>
        <v>On the go</v>
      </c>
      <c r="AK28" s="43"/>
      <c r="AL28" s="43" t="str">
        <f t="shared" si="10"/>
        <v>On the go</v>
      </c>
      <c r="AM28" s="41">
        <f t="shared" si="11"/>
        <v>0</v>
      </c>
      <c r="AN28" s="80">
        <f t="shared" si="32"/>
        <v>0.25</v>
      </c>
      <c r="AO28" s="41">
        <f t="shared" si="40"/>
        <v>1</v>
      </c>
      <c r="AP28" s="42">
        <v>12</v>
      </c>
      <c r="AQ28" s="43" t="str">
        <f t="shared" si="12"/>
        <v>On the go</v>
      </c>
      <c r="AR28" s="43"/>
      <c r="AS28" s="43" t="str">
        <f t="shared" si="33"/>
        <v>On the go</v>
      </c>
      <c r="AT28" s="41">
        <f t="shared" si="13"/>
        <v>0</v>
      </c>
      <c r="AU28" s="80">
        <f t="shared" si="34"/>
        <v>0.25</v>
      </c>
      <c r="AV28" s="41">
        <f t="shared" si="41"/>
        <v>1</v>
      </c>
      <c r="AW28" s="42">
        <v>12</v>
      </c>
      <c r="AX28" s="43" t="str">
        <f t="shared" si="14"/>
        <v>On the go</v>
      </c>
      <c r="AY28" s="43"/>
      <c r="AZ28" s="43" t="str">
        <f t="shared" si="35"/>
        <v>On the go</v>
      </c>
      <c r="BA28" s="44">
        <f t="shared" si="15"/>
        <v>0</v>
      </c>
      <c r="BB28" s="44">
        <f t="shared" si="16"/>
        <v>0.25</v>
      </c>
      <c r="BC28" s="44">
        <f t="shared" si="17"/>
        <v>1</v>
      </c>
      <c r="BD28" s="44">
        <f t="shared" si="18"/>
        <v>12</v>
      </c>
      <c r="BE28" s="45" t="str">
        <f t="shared" si="19"/>
        <v>On the go</v>
      </c>
      <c r="BF28" s="45">
        <f t="shared" si="20"/>
        <v>0</v>
      </c>
      <c r="BG28" s="46" t="str">
        <f t="shared" si="21"/>
        <v>On the go</v>
      </c>
    </row>
    <row r="29" spans="1:59" s="38" customFormat="1" ht="24">
      <c r="A29" s="52"/>
      <c r="B29" s="53">
        <v>24</v>
      </c>
      <c r="C29" s="47">
        <v>0.28125</v>
      </c>
      <c r="D29" s="48">
        <f t="shared" si="0"/>
        <v>29</v>
      </c>
      <c r="E29" s="83">
        <f t="shared" si="22"/>
        <v>0.5</v>
      </c>
      <c r="F29" s="48">
        <f t="shared" si="23"/>
        <v>2</v>
      </c>
      <c r="G29" s="49">
        <v>12</v>
      </c>
      <c r="H29" s="50" t="str">
        <f t="shared" si="1"/>
        <v>On the go</v>
      </c>
      <c r="I29" s="50"/>
      <c r="J29" s="50" t="str">
        <f t="shared" si="24"/>
        <v>On the go</v>
      </c>
      <c r="K29" s="48">
        <f t="shared" si="2"/>
        <v>29</v>
      </c>
      <c r="L29" s="81">
        <f t="shared" si="25"/>
        <v>0.5</v>
      </c>
      <c r="M29" s="48">
        <f t="shared" si="36"/>
        <v>2</v>
      </c>
      <c r="N29" s="49">
        <v>12</v>
      </c>
      <c r="O29" s="50" t="str">
        <f t="shared" si="3"/>
        <v>On the go</v>
      </c>
      <c r="P29" s="50"/>
      <c r="Q29" s="50" t="str">
        <f t="shared" si="26"/>
        <v>On the go</v>
      </c>
      <c r="R29" s="48">
        <f t="shared" si="4"/>
        <v>29</v>
      </c>
      <c r="S29" s="81">
        <f t="shared" si="27"/>
        <v>0.5</v>
      </c>
      <c r="T29" s="48">
        <f t="shared" si="37"/>
        <v>2</v>
      </c>
      <c r="U29" s="49">
        <v>12</v>
      </c>
      <c r="V29" s="50" t="str">
        <f t="shared" si="5"/>
        <v>On the go</v>
      </c>
      <c r="W29" s="50"/>
      <c r="X29" s="50" t="str">
        <f t="shared" si="28"/>
        <v>On the go</v>
      </c>
      <c r="Y29" s="48">
        <f t="shared" si="6"/>
        <v>29</v>
      </c>
      <c r="Z29" s="81">
        <f t="shared" si="29"/>
        <v>0.5</v>
      </c>
      <c r="AA29" s="48">
        <f t="shared" si="38"/>
        <v>2</v>
      </c>
      <c r="AB29" s="49">
        <v>12</v>
      </c>
      <c r="AC29" s="50" t="str">
        <f t="shared" si="7"/>
        <v>On the go</v>
      </c>
      <c r="AD29" s="50"/>
      <c r="AE29" s="50" t="str">
        <f t="shared" si="30"/>
        <v>On the go</v>
      </c>
      <c r="AF29" s="48">
        <f t="shared" si="8"/>
        <v>29</v>
      </c>
      <c r="AG29" s="81">
        <f t="shared" si="31"/>
        <v>0.5</v>
      </c>
      <c r="AH29" s="48">
        <f t="shared" si="39"/>
        <v>2</v>
      </c>
      <c r="AI29" s="49">
        <v>12</v>
      </c>
      <c r="AJ29" s="50" t="str">
        <f t="shared" si="9"/>
        <v>On the go</v>
      </c>
      <c r="AK29" s="50"/>
      <c r="AL29" s="50" t="str">
        <f t="shared" si="10"/>
        <v>On the go</v>
      </c>
      <c r="AM29" s="48">
        <f t="shared" si="11"/>
        <v>29</v>
      </c>
      <c r="AN29" s="81">
        <f t="shared" si="32"/>
        <v>0.5</v>
      </c>
      <c r="AO29" s="48">
        <f t="shared" si="40"/>
        <v>2</v>
      </c>
      <c r="AP29" s="49">
        <v>12</v>
      </c>
      <c r="AQ29" s="50" t="str">
        <f t="shared" si="12"/>
        <v>On the go</v>
      </c>
      <c r="AR29" s="50"/>
      <c r="AS29" s="50" t="str">
        <f t="shared" si="33"/>
        <v>On the go</v>
      </c>
      <c r="AT29" s="48">
        <f t="shared" si="13"/>
        <v>29</v>
      </c>
      <c r="AU29" s="81">
        <f t="shared" si="34"/>
        <v>0.5</v>
      </c>
      <c r="AV29" s="48">
        <f t="shared" si="41"/>
        <v>2</v>
      </c>
      <c r="AW29" s="49">
        <v>12</v>
      </c>
      <c r="AX29" s="50" t="str">
        <f t="shared" si="14"/>
        <v>On the go</v>
      </c>
      <c r="AY29" s="50"/>
      <c r="AZ29" s="50" t="str">
        <f t="shared" si="35"/>
        <v>On the go</v>
      </c>
      <c r="BA29" s="44">
        <f t="shared" si="15"/>
        <v>29</v>
      </c>
      <c r="BB29" s="44">
        <f t="shared" si="16"/>
        <v>0.5</v>
      </c>
      <c r="BC29" s="44">
        <f t="shared" si="17"/>
        <v>2</v>
      </c>
      <c r="BD29" s="44">
        <f t="shared" si="18"/>
        <v>12</v>
      </c>
      <c r="BE29" s="45" t="str">
        <f t="shared" si="19"/>
        <v>On the go</v>
      </c>
      <c r="BF29" s="45">
        <f t="shared" si="20"/>
        <v>0</v>
      </c>
      <c r="BG29" s="46" t="str">
        <f t="shared" si="21"/>
        <v>On the go</v>
      </c>
    </row>
    <row r="30" spans="1:59" s="38" customFormat="1" ht="24">
      <c r="A30" s="39"/>
      <c r="B30" s="40">
        <v>25</v>
      </c>
      <c r="C30" s="51">
        <v>0.29166666666666702</v>
      </c>
      <c r="D30" s="41">
        <f t="shared" si="0"/>
        <v>0</v>
      </c>
      <c r="E30" s="86">
        <f t="shared" si="22"/>
        <v>0.25</v>
      </c>
      <c r="F30" s="41">
        <f t="shared" si="23"/>
        <v>1</v>
      </c>
      <c r="G30" s="42">
        <v>2</v>
      </c>
      <c r="H30" s="43" t="str">
        <f t="shared" si="1"/>
        <v>Study</v>
      </c>
      <c r="I30" s="43"/>
      <c r="J30" s="43" t="str">
        <f t="shared" si="24"/>
        <v>Study</v>
      </c>
      <c r="K30" s="41">
        <f t="shared" si="2"/>
        <v>0</v>
      </c>
      <c r="L30" s="80">
        <f t="shared" si="25"/>
        <v>0.25</v>
      </c>
      <c r="M30" s="41">
        <f t="shared" si="36"/>
        <v>1</v>
      </c>
      <c r="N30" s="42">
        <v>2</v>
      </c>
      <c r="O30" s="43" t="str">
        <f t="shared" si="3"/>
        <v>Study</v>
      </c>
      <c r="P30" s="43"/>
      <c r="Q30" s="43" t="str">
        <f t="shared" si="26"/>
        <v>Study</v>
      </c>
      <c r="R30" s="41">
        <f t="shared" si="4"/>
        <v>0</v>
      </c>
      <c r="S30" s="80">
        <f t="shared" si="27"/>
        <v>0.25</v>
      </c>
      <c r="T30" s="41">
        <f t="shared" si="37"/>
        <v>1</v>
      </c>
      <c r="U30" s="42">
        <v>2</v>
      </c>
      <c r="V30" s="43" t="str">
        <f t="shared" si="5"/>
        <v>Study</v>
      </c>
      <c r="W30" s="43"/>
      <c r="X30" s="43" t="str">
        <f t="shared" si="28"/>
        <v>Study</v>
      </c>
      <c r="Y30" s="41">
        <f t="shared" si="6"/>
        <v>0</v>
      </c>
      <c r="Z30" s="80">
        <f t="shared" si="29"/>
        <v>0.25</v>
      </c>
      <c r="AA30" s="41">
        <f t="shared" si="38"/>
        <v>1</v>
      </c>
      <c r="AB30" s="42">
        <v>2</v>
      </c>
      <c r="AC30" s="43" t="str">
        <f t="shared" si="7"/>
        <v>Study</v>
      </c>
      <c r="AD30" s="43"/>
      <c r="AE30" s="43" t="str">
        <f t="shared" si="30"/>
        <v>Study</v>
      </c>
      <c r="AF30" s="41">
        <f t="shared" si="8"/>
        <v>0</v>
      </c>
      <c r="AG30" s="80">
        <f t="shared" si="31"/>
        <v>0.25</v>
      </c>
      <c r="AH30" s="41">
        <f t="shared" si="39"/>
        <v>1</v>
      </c>
      <c r="AI30" s="42">
        <v>2</v>
      </c>
      <c r="AJ30" s="43" t="str">
        <f t="shared" si="9"/>
        <v>Study</v>
      </c>
      <c r="AK30" s="43"/>
      <c r="AL30" s="43" t="str">
        <f t="shared" si="10"/>
        <v>Study</v>
      </c>
      <c r="AM30" s="41">
        <f t="shared" si="11"/>
        <v>0</v>
      </c>
      <c r="AN30" s="80">
        <f t="shared" si="32"/>
        <v>0.25</v>
      </c>
      <c r="AO30" s="41">
        <f t="shared" si="40"/>
        <v>1</v>
      </c>
      <c r="AP30" s="42">
        <v>2</v>
      </c>
      <c r="AQ30" s="43" t="str">
        <f t="shared" si="12"/>
        <v>Study</v>
      </c>
      <c r="AR30" s="43"/>
      <c r="AS30" s="43" t="str">
        <f t="shared" si="33"/>
        <v>Study</v>
      </c>
      <c r="AT30" s="41">
        <f t="shared" si="13"/>
        <v>0</v>
      </c>
      <c r="AU30" s="80">
        <f t="shared" si="34"/>
        <v>0.25</v>
      </c>
      <c r="AV30" s="41">
        <f t="shared" si="41"/>
        <v>1</v>
      </c>
      <c r="AW30" s="42">
        <v>2</v>
      </c>
      <c r="AX30" s="43" t="str">
        <f t="shared" si="14"/>
        <v>Study</v>
      </c>
      <c r="AY30" s="43"/>
      <c r="AZ30" s="43" t="str">
        <f t="shared" si="35"/>
        <v>Study</v>
      </c>
      <c r="BA30" s="44">
        <f t="shared" si="15"/>
        <v>0</v>
      </c>
      <c r="BB30" s="44">
        <f t="shared" si="16"/>
        <v>0.25</v>
      </c>
      <c r="BC30" s="44">
        <f t="shared" si="17"/>
        <v>1</v>
      </c>
      <c r="BD30" s="44">
        <f t="shared" si="18"/>
        <v>2</v>
      </c>
      <c r="BE30" s="45" t="str">
        <f t="shared" si="19"/>
        <v>Study</v>
      </c>
      <c r="BF30" s="45">
        <f t="shared" si="20"/>
        <v>0</v>
      </c>
      <c r="BG30" s="46" t="str">
        <f t="shared" si="21"/>
        <v>Study</v>
      </c>
    </row>
    <row r="31" spans="1:59" s="38" customFormat="1" ht="24">
      <c r="A31" s="52"/>
      <c r="B31" s="53">
        <v>26</v>
      </c>
      <c r="C31" s="47">
        <v>0.30208333333333298</v>
      </c>
      <c r="D31" s="48">
        <f t="shared" si="0"/>
        <v>0</v>
      </c>
      <c r="E31" s="83">
        <f t="shared" si="22"/>
        <v>0.5</v>
      </c>
      <c r="F31" s="48">
        <f t="shared" si="23"/>
        <v>2</v>
      </c>
      <c r="G31" s="49">
        <v>2</v>
      </c>
      <c r="H31" s="50" t="str">
        <f t="shared" si="1"/>
        <v>Study</v>
      </c>
      <c r="I31" s="50"/>
      <c r="J31" s="50" t="str">
        <f t="shared" si="24"/>
        <v>Study</v>
      </c>
      <c r="K31" s="48">
        <f t="shared" si="2"/>
        <v>0</v>
      </c>
      <c r="L31" s="81">
        <f t="shared" si="25"/>
        <v>0.5</v>
      </c>
      <c r="M31" s="48">
        <f t="shared" si="36"/>
        <v>2</v>
      </c>
      <c r="N31" s="49">
        <v>2</v>
      </c>
      <c r="O31" s="50" t="str">
        <f t="shared" si="3"/>
        <v>Study</v>
      </c>
      <c r="P31" s="50"/>
      <c r="Q31" s="50" t="str">
        <f t="shared" si="26"/>
        <v>Study</v>
      </c>
      <c r="R31" s="48">
        <f t="shared" si="4"/>
        <v>0</v>
      </c>
      <c r="S31" s="81">
        <f t="shared" si="27"/>
        <v>0.5</v>
      </c>
      <c r="T31" s="48">
        <f t="shared" si="37"/>
        <v>2</v>
      </c>
      <c r="U31" s="49">
        <v>2</v>
      </c>
      <c r="V31" s="50" t="str">
        <f t="shared" si="5"/>
        <v>Study</v>
      </c>
      <c r="W31" s="50"/>
      <c r="X31" s="50" t="str">
        <f t="shared" si="28"/>
        <v>Study</v>
      </c>
      <c r="Y31" s="48">
        <f t="shared" si="6"/>
        <v>0</v>
      </c>
      <c r="Z31" s="81">
        <f t="shared" si="29"/>
        <v>0.5</v>
      </c>
      <c r="AA31" s="48">
        <f t="shared" si="38"/>
        <v>2</v>
      </c>
      <c r="AB31" s="49">
        <v>2</v>
      </c>
      <c r="AC31" s="50" t="str">
        <f t="shared" si="7"/>
        <v>Study</v>
      </c>
      <c r="AD31" s="50"/>
      <c r="AE31" s="50" t="str">
        <f t="shared" si="30"/>
        <v>Study</v>
      </c>
      <c r="AF31" s="48">
        <f t="shared" si="8"/>
        <v>0</v>
      </c>
      <c r="AG31" s="81">
        <f t="shared" si="31"/>
        <v>0.5</v>
      </c>
      <c r="AH31" s="48">
        <f t="shared" si="39"/>
        <v>2</v>
      </c>
      <c r="AI31" s="49">
        <v>2</v>
      </c>
      <c r="AJ31" s="50" t="str">
        <f t="shared" si="9"/>
        <v>Study</v>
      </c>
      <c r="AK31" s="50"/>
      <c r="AL31" s="50" t="str">
        <f t="shared" si="10"/>
        <v>Study</v>
      </c>
      <c r="AM31" s="48">
        <f t="shared" si="11"/>
        <v>0</v>
      </c>
      <c r="AN31" s="81">
        <f t="shared" si="32"/>
        <v>0.5</v>
      </c>
      <c r="AO31" s="48">
        <f t="shared" si="40"/>
        <v>2</v>
      </c>
      <c r="AP31" s="49">
        <v>2</v>
      </c>
      <c r="AQ31" s="50" t="str">
        <f t="shared" si="12"/>
        <v>Study</v>
      </c>
      <c r="AR31" s="50"/>
      <c r="AS31" s="50" t="str">
        <f t="shared" si="33"/>
        <v>Study</v>
      </c>
      <c r="AT31" s="48">
        <f t="shared" si="13"/>
        <v>0</v>
      </c>
      <c r="AU31" s="81">
        <f t="shared" si="34"/>
        <v>0.5</v>
      </c>
      <c r="AV31" s="48">
        <f t="shared" si="41"/>
        <v>2</v>
      </c>
      <c r="AW31" s="49">
        <v>2</v>
      </c>
      <c r="AX31" s="50" t="str">
        <f t="shared" si="14"/>
        <v>Study</v>
      </c>
      <c r="AY31" s="50"/>
      <c r="AZ31" s="50" t="str">
        <f t="shared" si="35"/>
        <v>Study</v>
      </c>
      <c r="BA31" s="44">
        <f t="shared" si="15"/>
        <v>0</v>
      </c>
      <c r="BB31" s="44">
        <f t="shared" si="16"/>
        <v>0.5</v>
      </c>
      <c r="BC31" s="44">
        <f t="shared" si="17"/>
        <v>2</v>
      </c>
      <c r="BD31" s="44">
        <f t="shared" si="18"/>
        <v>2</v>
      </c>
      <c r="BE31" s="45" t="str">
        <f t="shared" si="19"/>
        <v>Study</v>
      </c>
      <c r="BF31" s="45">
        <f t="shared" si="20"/>
        <v>0</v>
      </c>
      <c r="BG31" s="46" t="str">
        <f t="shared" si="21"/>
        <v>Study</v>
      </c>
    </row>
    <row r="32" spans="1:59" s="38" customFormat="1" ht="24">
      <c r="A32" s="39"/>
      <c r="B32" s="40">
        <v>27</v>
      </c>
      <c r="C32" s="51">
        <v>0.3125</v>
      </c>
      <c r="D32" s="41">
        <f t="shared" si="0"/>
        <v>0</v>
      </c>
      <c r="E32" s="86">
        <f t="shared" si="22"/>
        <v>0.75</v>
      </c>
      <c r="F32" s="41">
        <f t="shared" si="23"/>
        <v>3</v>
      </c>
      <c r="G32" s="42">
        <v>2</v>
      </c>
      <c r="H32" s="43" t="str">
        <f t="shared" si="1"/>
        <v>Study</v>
      </c>
      <c r="I32" s="43"/>
      <c r="J32" s="43" t="str">
        <f t="shared" si="24"/>
        <v>Study</v>
      </c>
      <c r="K32" s="41">
        <f t="shared" si="2"/>
        <v>0</v>
      </c>
      <c r="L32" s="80">
        <f t="shared" si="25"/>
        <v>0.75</v>
      </c>
      <c r="M32" s="41">
        <f t="shared" si="36"/>
        <v>3</v>
      </c>
      <c r="N32" s="42">
        <v>2</v>
      </c>
      <c r="O32" s="43" t="str">
        <f t="shared" si="3"/>
        <v>Study</v>
      </c>
      <c r="P32" s="43"/>
      <c r="Q32" s="43" t="str">
        <f t="shared" si="26"/>
        <v>Study</v>
      </c>
      <c r="R32" s="41">
        <f t="shared" si="4"/>
        <v>0</v>
      </c>
      <c r="S32" s="80">
        <f t="shared" si="27"/>
        <v>0.75</v>
      </c>
      <c r="T32" s="41">
        <f t="shared" si="37"/>
        <v>3</v>
      </c>
      <c r="U32" s="42">
        <v>2</v>
      </c>
      <c r="V32" s="43" t="str">
        <f t="shared" si="5"/>
        <v>Study</v>
      </c>
      <c r="W32" s="43"/>
      <c r="X32" s="43" t="str">
        <f t="shared" si="28"/>
        <v>Study</v>
      </c>
      <c r="Y32" s="41">
        <f t="shared" si="6"/>
        <v>0</v>
      </c>
      <c r="Z32" s="80">
        <f t="shared" si="29"/>
        <v>0.75</v>
      </c>
      <c r="AA32" s="41">
        <f t="shared" si="38"/>
        <v>3</v>
      </c>
      <c r="AB32" s="42">
        <v>2</v>
      </c>
      <c r="AC32" s="43" t="str">
        <f t="shared" si="7"/>
        <v>Study</v>
      </c>
      <c r="AD32" s="43"/>
      <c r="AE32" s="43" t="str">
        <f t="shared" si="30"/>
        <v>Study</v>
      </c>
      <c r="AF32" s="41">
        <f t="shared" si="8"/>
        <v>0</v>
      </c>
      <c r="AG32" s="80">
        <f t="shared" si="31"/>
        <v>0.75</v>
      </c>
      <c r="AH32" s="41">
        <f t="shared" si="39"/>
        <v>3</v>
      </c>
      <c r="AI32" s="42">
        <v>2</v>
      </c>
      <c r="AJ32" s="43" t="str">
        <f t="shared" si="9"/>
        <v>Study</v>
      </c>
      <c r="AK32" s="43"/>
      <c r="AL32" s="43" t="str">
        <f t="shared" si="10"/>
        <v>Study</v>
      </c>
      <c r="AM32" s="41">
        <f t="shared" si="11"/>
        <v>0</v>
      </c>
      <c r="AN32" s="80">
        <f t="shared" si="32"/>
        <v>0.75</v>
      </c>
      <c r="AO32" s="41">
        <f t="shared" si="40"/>
        <v>3</v>
      </c>
      <c r="AP32" s="42">
        <v>2</v>
      </c>
      <c r="AQ32" s="43" t="str">
        <f t="shared" si="12"/>
        <v>Study</v>
      </c>
      <c r="AR32" s="43"/>
      <c r="AS32" s="43" t="str">
        <f t="shared" si="33"/>
        <v>Study</v>
      </c>
      <c r="AT32" s="41">
        <f t="shared" si="13"/>
        <v>0</v>
      </c>
      <c r="AU32" s="80">
        <f t="shared" si="34"/>
        <v>0.75</v>
      </c>
      <c r="AV32" s="41">
        <f t="shared" si="41"/>
        <v>3</v>
      </c>
      <c r="AW32" s="42">
        <v>2</v>
      </c>
      <c r="AX32" s="43" t="str">
        <f t="shared" si="14"/>
        <v>Study</v>
      </c>
      <c r="AY32" s="43"/>
      <c r="AZ32" s="43" t="str">
        <f t="shared" si="35"/>
        <v>Study</v>
      </c>
      <c r="BA32" s="44">
        <f t="shared" si="15"/>
        <v>0</v>
      </c>
      <c r="BB32" s="44">
        <f t="shared" si="16"/>
        <v>0.75</v>
      </c>
      <c r="BC32" s="44">
        <f t="shared" si="17"/>
        <v>3</v>
      </c>
      <c r="BD32" s="44">
        <f t="shared" si="18"/>
        <v>2</v>
      </c>
      <c r="BE32" s="45" t="str">
        <f t="shared" si="19"/>
        <v>Study</v>
      </c>
      <c r="BF32" s="45">
        <f t="shared" si="20"/>
        <v>0</v>
      </c>
      <c r="BG32" s="46" t="str">
        <f t="shared" si="21"/>
        <v>Study</v>
      </c>
    </row>
    <row r="33" spans="1:59" s="38" customFormat="1" ht="24">
      <c r="A33" s="52"/>
      <c r="B33" s="53">
        <v>28</v>
      </c>
      <c r="C33" s="47">
        <v>0.32291666666666702</v>
      </c>
      <c r="D33" s="48">
        <f t="shared" si="0"/>
        <v>0</v>
      </c>
      <c r="E33" s="83">
        <f t="shared" si="22"/>
        <v>1</v>
      </c>
      <c r="F33" s="48">
        <f t="shared" si="23"/>
        <v>4</v>
      </c>
      <c r="G33" s="49">
        <v>2</v>
      </c>
      <c r="H33" s="50" t="str">
        <f t="shared" si="1"/>
        <v>Study</v>
      </c>
      <c r="I33" s="50"/>
      <c r="J33" s="50" t="str">
        <f t="shared" si="24"/>
        <v>Study</v>
      </c>
      <c r="K33" s="48">
        <f t="shared" si="2"/>
        <v>0</v>
      </c>
      <c r="L33" s="81">
        <f t="shared" si="25"/>
        <v>1</v>
      </c>
      <c r="M33" s="48">
        <f t="shared" si="36"/>
        <v>4</v>
      </c>
      <c r="N33" s="49">
        <v>2</v>
      </c>
      <c r="O33" s="50" t="str">
        <f t="shared" si="3"/>
        <v>Study</v>
      </c>
      <c r="P33" s="50"/>
      <c r="Q33" s="50" t="str">
        <f t="shared" si="26"/>
        <v>Study</v>
      </c>
      <c r="R33" s="48">
        <f t="shared" si="4"/>
        <v>0</v>
      </c>
      <c r="S33" s="81">
        <f t="shared" si="27"/>
        <v>1</v>
      </c>
      <c r="T33" s="48">
        <f t="shared" si="37"/>
        <v>4</v>
      </c>
      <c r="U33" s="49">
        <v>2</v>
      </c>
      <c r="V33" s="50" t="str">
        <f t="shared" si="5"/>
        <v>Study</v>
      </c>
      <c r="W33" s="50"/>
      <c r="X33" s="50" t="str">
        <f t="shared" si="28"/>
        <v>Study</v>
      </c>
      <c r="Y33" s="48">
        <f t="shared" si="6"/>
        <v>0</v>
      </c>
      <c r="Z33" s="81">
        <f t="shared" si="29"/>
        <v>1</v>
      </c>
      <c r="AA33" s="48">
        <f t="shared" si="38"/>
        <v>4</v>
      </c>
      <c r="AB33" s="49">
        <v>2</v>
      </c>
      <c r="AC33" s="50" t="str">
        <f t="shared" si="7"/>
        <v>Study</v>
      </c>
      <c r="AD33" s="50"/>
      <c r="AE33" s="50" t="str">
        <f t="shared" si="30"/>
        <v>Study</v>
      </c>
      <c r="AF33" s="48">
        <f t="shared" si="8"/>
        <v>0</v>
      </c>
      <c r="AG33" s="81">
        <f t="shared" si="31"/>
        <v>1</v>
      </c>
      <c r="AH33" s="48">
        <f t="shared" si="39"/>
        <v>4</v>
      </c>
      <c r="AI33" s="49">
        <v>2</v>
      </c>
      <c r="AJ33" s="50" t="str">
        <f t="shared" si="9"/>
        <v>Study</v>
      </c>
      <c r="AK33" s="50"/>
      <c r="AL33" s="50" t="str">
        <f t="shared" si="10"/>
        <v>Study</v>
      </c>
      <c r="AM33" s="48">
        <f t="shared" si="11"/>
        <v>0</v>
      </c>
      <c r="AN33" s="81">
        <f t="shared" si="32"/>
        <v>1</v>
      </c>
      <c r="AO33" s="48">
        <f t="shared" si="40"/>
        <v>4</v>
      </c>
      <c r="AP33" s="49">
        <v>2</v>
      </c>
      <c r="AQ33" s="50" t="str">
        <f t="shared" si="12"/>
        <v>Study</v>
      </c>
      <c r="AR33" s="50"/>
      <c r="AS33" s="50" t="str">
        <f t="shared" si="33"/>
        <v>Study</v>
      </c>
      <c r="AT33" s="48">
        <f t="shared" si="13"/>
        <v>0</v>
      </c>
      <c r="AU33" s="81">
        <f t="shared" si="34"/>
        <v>1</v>
      </c>
      <c r="AV33" s="48">
        <f t="shared" si="41"/>
        <v>4</v>
      </c>
      <c r="AW33" s="49">
        <v>2</v>
      </c>
      <c r="AX33" s="50" t="str">
        <f t="shared" si="14"/>
        <v>Study</v>
      </c>
      <c r="AY33" s="50"/>
      <c r="AZ33" s="50" t="str">
        <f t="shared" si="35"/>
        <v>Study</v>
      </c>
      <c r="BA33" s="45">
        <f t="shared" si="15"/>
        <v>0</v>
      </c>
      <c r="BB33" s="45">
        <f t="shared" si="16"/>
        <v>1</v>
      </c>
      <c r="BC33" s="45">
        <f t="shared" si="17"/>
        <v>4</v>
      </c>
      <c r="BD33" s="45">
        <f t="shared" si="18"/>
        <v>2</v>
      </c>
      <c r="BE33" s="45" t="str">
        <f t="shared" si="19"/>
        <v>Study</v>
      </c>
      <c r="BF33" s="45">
        <f t="shared" si="20"/>
        <v>0</v>
      </c>
      <c r="BG33" s="46" t="str">
        <f t="shared" si="21"/>
        <v>Study</v>
      </c>
    </row>
    <row r="34" spans="1:59" s="38" customFormat="1" ht="24">
      <c r="A34" s="39"/>
      <c r="B34" s="40">
        <v>29</v>
      </c>
      <c r="C34" s="51">
        <v>0.33333333333333298</v>
      </c>
      <c r="D34" s="41">
        <f t="shared" si="0"/>
        <v>0</v>
      </c>
      <c r="E34" s="86">
        <f t="shared" si="22"/>
        <v>1.25</v>
      </c>
      <c r="F34" s="41">
        <f t="shared" si="23"/>
        <v>5</v>
      </c>
      <c r="G34" s="42">
        <v>2</v>
      </c>
      <c r="H34" s="43" t="str">
        <f t="shared" ref="H34:H65" si="43">LOOKUP(G34,index,indexname)</f>
        <v>Study</v>
      </c>
      <c r="I34" s="43"/>
      <c r="J34" s="43" t="str">
        <f t="shared" si="24"/>
        <v>Study</v>
      </c>
      <c r="K34" s="41">
        <f t="shared" si="2"/>
        <v>0</v>
      </c>
      <c r="L34" s="80">
        <f t="shared" si="25"/>
        <v>1.25</v>
      </c>
      <c r="M34" s="41">
        <f t="shared" si="36"/>
        <v>5</v>
      </c>
      <c r="N34" s="42">
        <v>2</v>
      </c>
      <c r="O34" s="43" t="str">
        <f t="shared" si="3"/>
        <v>Study</v>
      </c>
      <c r="P34" s="43"/>
      <c r="Q34" s="43" t="str">
        <f t="shared" si="26"/>
        <v>Study</v>
      </c>
      <c r="R34" s="41">
        <f t="shared" si="4"/>
        <v>0</v>
      </c>
      <c r="S34" s="80">
        <f t="shared" si="27"/>
        <v>1.25</v>
      </c>
      <c r="T34" s="41">
        <f t="shared" si="37"/>
        <v>5</v>
      </c>
      <c r="U34" s="42">
        <v>2</v>
      </c>
      <c r="V34" s="43" t="str">
        <f t="shared" si="5"/>
        <v>Study</v>
      </c>
      <c r="W34" s="43"/>
      <c r="X34" s="43" t="str">
        <f t="shared" si="28"/>
        <v>Study</v>
      </c>
      <c r="Y34" s="41">
        <f t="shared" si="6"/>
        <v>0</v>
      </c>
      <c r="Z34" s="80">
        <f t="shared" si="29"/>
        <v>1.25</v>
      </c>
      <c r="AA34" s="41">
        <f t="shared" si="38"/>
        <v>5</v>
      </c>
      <c r="AB34" s="42">
        <v>2</v>
      </c>
      <c r="AC34" s="43" t="str">
        <f t="shared" si="7"/>
        <v>Study</v>
      </c>
      <c r="AD34" s="43"/>
      <c r="AE34" s="43" t="str">
        <f t="shared" si="30"/>
        <v>Study</v>
      </c>
      <c r="AF34" s="41">
        <f t="shared" si="8"/>
        <v>0</v>
      </c>
      <c r="AG34" s="80">
        <f t="shared" si="31"/>
        <v>1.25</v>
      </c>
      <c r="AH34" s="41">
        <f t="shared" si="39"/>
        <v>5</v>
      </c>
      <c r="AI34" s="42">
        <v>2</v>
      </c>
      <c r="AJ34" s="43" t="str">
        <f t="shared" si="9"/>
        <v>Study</v>
      </c>
      <c r="AK34" s="43"/>
      <c r="AL34" s="43" t="str">
        <f t="shared" ref="AL34:AL65" si="44">IF(AK34="",AJ34,AK34)</f>
        <v>Study</v>
      </c>
      <c r="AM34" s="41">
        <f t="shared" si="11"/>
        <v>0</v>
      </c>
      <c r="AN34" s="80">
        <f t="shared" si="32"/>
        <v>1.25</v>
      </c>
      <c r="AO34" s="41">
        <f t="shared" si="40"/>
        <v>5</v>
      </c>
      <c r="AP34" s="42">
        <v>2</v>
      </c>
      <c r="AQ34" s="43" t="str">
        <f t="shared" si="12"/>
        <v>Study</v>
      </c>
      <c r="AR34" s="43"/>
      <c r="AS34" s="43" t="str">
        <f t="shared" si="33"/>
        <v>Study</v>
      </c>
      <c r="AT34" s="41">
        <f t="shared" si="13"/>
        <v>0</v>
      </c>
      <c r="AU34" s="80">
        <f t="shared" si="34"/>
        <v>1.25</v>
      </c>
      <c r="AV34" s="41">
        <f t="shared" si="41"/>
        <v>5</v>
      </c>
      <c r="AW34" s="42">
        <v>2</v>
      </c>
      <c r="AX34" s="43" t="str">
        <f t="shared" si="14"/>
        <v>Study</v>
      </c>
      <c r="AY34" s="43"/>
      <c r="AZ34" s="43" t="str">
        <f t="shared" si="35"/>
        <v>Study</v>
      </c>
      <c r="BA34" s="45">
        <f t="shared" ref="BA34:BA65" si="45">D34</f>
        <v>0</v>
      </c>
      <c r="BB34" s="45">
        <f t="shared" ref="BB34:BB65" si="46">E34</f>
        <v>1.25</v>
      </c>
      <c r="BC34" s="45">
        <f t="shared" ref="BC34:BC65" si="47">F34</f>
        <v>5</v>
      </c>
      <c r="BD34" s="45">
        <f t="shared" ref="BD34:BD65" si="48">G34</f>
        <v>2</v>
      </c>
      <c r="BE34" s="45" t="str">
        <f t="shared" ref="BE34:BE65" si="49">H34</f>
        <v>Study</v>
      </c>
      <c r="BF34" s="45">
        <f t="shared" ref="BF34:BF65" si="50">I34</f>
        <v>0</v>
      </c>
      <c r="BG34" s="46" t="str">
        <f t="shared" ref="BG34:BG65" si="51">J34</f>
        <v>Study</v>
      </c>
    </row>
    <row r="35" spans="1:59" s="38" customFormat="1" ht="24">
      <c r="A35" s="87" t="s">
        <v>41</v>
      </c>
      <c r="B35" s="88"/>
      <c r="C35" s="47">
        <v>0.34375</v>
      </c>
      <c r="D35" s="48">
        <f t="shared" si="0"/>
        <v>0</v>
      </c>
      <c r="E35" s="83">
        <f t="shared" si="22"/>
        <v>1.5</v>
      </c>
      <c r="F35" s="48">
        <f t="shared" si="23"/>
        <v>6</v>
      </c>
      <c r="G35" s="49">
        <v>2</v>
      </c>
      <c r="H35" s="50" t="str">
        <f t="shared" si="43"/>
        <v>Study</v>
      </c>
      <c r="I35" s="50"/>
      <c r="J35" s="50" t="str">
        <f t="shared" si="24"/>
        <v>Study</v>
      </c>
      <c r="K35" s="48">
        <f t="shared" si="2"/>
        <v>0</v>
      </c>
      <c r="L35" s="81">
        <f t="shared" si="25"/>
        <v>1.5</v>
      </c>
      <c r="M35" s="48">
        <f t="shared" si="36"/>
        <v>6</v>
      </c>
      <c r="N35" s="49">
        <v>2</v>
      </c>
      <c r="O35" s="50" t="str">
        <f t="shared" si="3"/>
        <v>Study</v>
      </c>
      <c r="P35" s="50"/>
      <c r="Q35" s="50" t="str">
        <f t="shared" si="26"/>
        <v>Study</v>
      </c>
      <c r="R35" s="48">
        <f t="shared" si="4"/>
        <v>0</v>
      </c>
      <c r="S35" s="81">
        <f t="shared" si="27"/>
        <v>1.5</v>
      </c>
      <c r="T35" s="48">
        <f t="shared" si="37"/>
        <v>6</v>
      </c>
      <c r="U35" s="49">
        <v>2</v>
      </c>
      <c r="V35" s="50" t="str">
        <f t="shared" si="5"/>
        <v>Study</v>
      </c>
      <c r="W35" s="50"/>
      <c r="X35" s="50" t="str">
        <f t="shared" si="28"/>
        <v>Study</v>
      </c>
      <c r="Y35" s="48">
        <f t="shared" si="6"/>
        <v>0</v>
      </c>
      <c r="Z35" s="81">
        <f t="shared" si="29"/>
        <v>1.5</v>
      </c>
      <c r="AA35" s="48">
        <f t="shared" si="38"/>
        <v>6</v>
      </c>
      <c r="AB35" s="49">
        <v>2</v>
      </c>
      <c r="AC35" s="50" t="str">
        <f t="shared" si="7"/>
        <v>Study</v>
      </c>
      <c r="AD35" s="50"/>
      <c r="AE35" s="50" t="str">
        <f t="shared" si="30"/>
        <v>Study</v>
      </c>
      <c r="AF35" s="48">
        <f t="shared" si="8"/>
        <v>0</v>
      </c>
      <c r="AG35" s="81">
        <f t="shared" si="31"/>
        <v>1.5</v>
      </c>
      <c r="AH35" s="48">
        <f t="shared" si="39"/>
        <v>6</v>
      </c>
      <c r="AI35" s="49">
        <v>2</v>
      </c>
      <c r="AJ35" s="50" t="str">
        <f t="shared" si="9"/>
        <v>Study</v>
      </c>
      <c r="AK35" s="50"/>
      <c r="AL35" s="50" t="str">
        <f t="shared" si="44"/>
        <v>Study</v>
      </c>
      <c r="AM35" s="48">
        <f t="shared" si="11"/>
        <v>0</v>
      </c>
      <c r="AN35" s="81">
        <f t="shared" si="32"/>
        <v>1.5</v>
      </c>
      <c r="AO35" s="48">
        <f t="shared" si="40"/>
        <v>6</v>
      </c>
      <c r="AP35" s="49">
        <v>2</v>
      </c>
      <c r="AQ35" s="50" t="str">
        <f t="shared" si="12"/>
        <v>Study</v>
      </c>
      <c r="AR35" s="50"/>
      <c r="AS35" s="50" t="str">
        <f t="shared" si="33"/>
        <v>Study</v>
      </c>
      <c r="AT35" s="48">
        <f t="shared" si="13"/>
        <v>0</v>
      </c>
      <c r="AU35" s="81">
        <f t="shared" si="34"/>
        <v>1.5</v>
      </c>
      <c r="AV35" s="48">
        <f t="shared" si="41"/>
        <v>6</v>
      </c>
      <c r="AW35" s="49">
        <v>2</v>
      </c>
      <c r="AX35" s="50" t="str">
        <f t="shared" si="14"/>
        <v>Study</v>
      </c>
      <c r="AY35" s="50"/>
      <c r="AZ35" s="50" t="str">
        <f t="shared" si="35"/>
        <v>Study</v>
      </c>
      <c r="BA35" s="45">
        <f t="shared" si="45"/>
        <v>0</v>
      </c>
      <c r="BB35" s="45">
        <f t="shared" si="46"/>
        <v>1.5</v>
      </c>
      <c r="BC35" s="45">
        <f t="shared" si="47"/>
        <v>6</v>
      </c>
      <c r="BD35" s="45">
        <f t="shared" si="48"/>
        <v>2</v>
      </c>
      <c r="BE35" s="45" t="str">
        <f t="shared" si="49"/>
        <v>Study</v>
      </c>
      <c r="BF35" s="45">
        <f t="shared" si="50"/>
        <v>0</v>
      </c>
      <c r="BG35" s="46" t="str">
        <f t="shared" si="51"/>
        <v>Study</v>
      </c>
    </row>
    <row r="36" spans="1:59" s="38" customFormat="1" ht="24">
      <c r="A36" s="39" t="s">
        <v>103</v>
      </c>
      <c r="B36" s="54">
        <v>30</v>
      </c>
      <c r="C36" s="51">
        <v>0.35416666666666702</v>
      </c>
      <c r="D36" s="41">
        <f t="shared" si="0"/>
        <v>0</v>
      </c>
      <c r="E36" s="86">
        <f t="shared" si="22"/>
        <v>1.75</v>
      </c>
      <c r="F36" s="49">
        <f t="shared" si="23"/>
        <v>7</v>
      </c>
      <c r="G36" s="42">
        <v>2</v>
      </c>
      <c r="H36" s="43" t="str">
        <f t="shared" si="43"/>
        <v>Study</v>
      </c>
      <c r="I36" s="43"/>
      <c r="J36" s="43" t="str">
        <f t="shared" si="24"/>
        <v>Study</v>
      </c>
      <c r="K36" s="41">
        <f t="shared" si="2"/>
        <v>0</v>
      </c>
      <c r="L36" s="80">
        <f t="shared" si="25"/>
        <v>1.75</v>
      </c>
      <c r="M36" s="49">
        <f t="shared" si="36"/>
        <v>7</v>
      </c>
      <c r="N36" s="42">
        <v>2</v>
      </c>
      <c r="O36" s="43" t="str">
        <f t="shared" si="3"/>
        <v>Study</v>
      </c>
      <c r="P36" s="43"/>
      <c r="Q36" s="43" t="str">
        <f t="shared" si="26"/>
        <v>Study</v>
      </c>
      <c r="R36" s="41">
        <f t="shared" si="4"/>
        <v>0</v>
      </c>
      <c r="S36" s="80">
        <f t="shared" si="27"/>
        <v>1.75</v>
      </c>
      <c r="T36" s="49">
        <f t="shared" si="37"/>
        <v>7</v>
      </c>
      <c r="U36" s="42">
        <v>2</v>
      </c>
      <c r="V36" s="43" t="str">
        <f t="shared" si="5"/>
        <v>Study</v>
      </c>
      <c r="W36" s="43"/>
      <c r="X36" s="43" t="str">
        <f t="shared" si="28"/>
        <v>Study</v>
      </c>
      <c r="Y36" s="41">
        <f t="shared" si="6"/>
        <v>0</v>
      </c>
      <c r="Z36" s="80">
        <f t="shared" si="29"/>
        <v>1.75</v>
      </c>
      <c r="AA36" s="49">
        <f t="shared" si="38"/>
        <v>7</v>
      </c>
      <c r="AB36" s="42">
        <v>2</v>
      </c>
      <c r="AC36" s="43" t="str">
        <f t="shared" si="7"/>
        <v>Study</v>
      </c>
      <c r="AD36" s="43"/>
      <c r="AE36" s="43" t="str">
        <f t="shared" si="30"/>
        <v>Study</v>
      </c>
      <c r="AF36" s="41">
        <f t="shared" si="8"/>
        <v>0</v>
      </c>
      <c r="AG36" s="80">
        <f t="shared" si="31"/>
        <v>1.75</v>
      </c>
      <c r="AH36" s="49">
        <f t="shared" si="39"/>
        <v>7</v>
      </c>
      <c r="AI36" s="42">
        <v>2</v>
      </c>
      <c r="AJ36" s="43" t="str">
        <f t="shared" si="9"/>
        <v>Study</v>
      </c>
      <c r="AK36" s="43"/>
      <c r="AL36" s="43" t="str">
        <f t="shared" si="44"/>
        <v>Study</v>
      </c>
      <c r="AM36" s="41">
        <f t="shared" si="11"/>
        <v>0</v>
      </c>
      <c r="AN36" s="80">
        <f t="shared" si="32"/>
        <v>1.75</v>
      </c>
      <c r="AO36" s="49">
        <f t="shared" si="40"/>
        <v>7</v>
      </c>
      <c r="AP36" s="42">
        <v>2</v>
      </c>
      <c r="AQ36" s="43" t="str">
        <f t="shared" si="12"/>
        <v>Study</v>
      </c>
      <c r="AR36" s="43"/>
      <c r="AS36" s="43" t="str">
        <f t="shared" si="33"/>
        <v>Study</v>
      </c>
      <c r="AT36" s="41">
        <f t="shared" si="13"/>
        <v>0</v>
      </c>
      <c r="AU36" s="80">
        <f t="shared" si="34"/>
        <v>1.75</v>
      </c>
      <c r="AV36" s="49">
        <f t="shared" si="41"/>
        <v>7</v>
      </c>
      <c r="AW36" s="42">
        <v>2</v>
      </c>
      <c r="AX36" s="43" t="str">
        <f t="shared" si="14"/>
        <v>Study</v>
      </c>
      <c r="AY36" s="43"/>
      <c r="AZ36" s="43" t="str">
        <f t="shared" si="35"/>
        <v>Study</v>
      </c>
      <c r="BA36" s="45">
        <f t="shared" si="45"/>
        <v>0</v>
      </c>
      <c r="BB36" s="45">
        <f t="shared" si="46"/>
        <v>1.75</v>
      </c>
      <c r="BC36" s="45">
        <f t="shared" si="47"/>
        <v>7</v>
      </c>
      <c r="BD36" s="45">
        <f t="shared" si="48"/>
        <v>2</v>
      </c>
      <c r="BE36" s="45" t="str">
        <f t="shared" si="49"/>
        <v>Study</v>
      </c>
      <c r="BF36" s="45">
        <f t="shared" si="50"/>
        <v>0</v>
      </c>
      <c r="BG36" s="46" t="str">
        <f t="shared" si="51"/>
        <v>Study</v>
      </c>
    </row>
    <row r="37" spans="1:59" s="38" customFormat="1" ht="24">
      <c r="A37" s="52"/>
      <c r="B37" s="53">
        <v>31</v>
      </c>
      <c r="C37" s="47">
        <v>0.36458333333333298</v>
      </c>
      <c r="D37" s="48">
        <f t="shared" si="0"/>
        <v>0</v>
      </c>
      <c r="E37" s="83">
        <f t="shared" si="22"/>
        <v>2</v>
      </c>
      <c r="F37" s="48">
        <f t="shared" si="23"/>
        <v>8</v>
      </c>
      <c r="G37" s="49">
        <v>2</v>
      </c>
      <c r="H37" s="50" t="str">
        <f t="shared" si="43"/>
        <v>Study</v>
      </c>
      <c r="I37" s="50"/>
      <c r="J37" s="50" t="str">
        <f t="shared" si="24"/>
        <v>Study</v>
      </c>
      <c r="K37" s="48">
        <f t="shared" si="2"/>
        <v>0</v>
      </c>
      <c r="L37" s="81">
        <f t="shared" si="25"/>
        <v>2</v>
      </c>
      <c r="M37" s="48">
        <f t="shared" si="36"/>
        <v>8</v>
      </c>
      <c r="N37" s="49">
        <v>2</v>
      </c>
      <c r="O37" s="50" t="str">
        <f t="shared" si="3"/>
        <v>Study</v>
      </c>
      <c r="P37" s="50"/>
      <c r="Q37" s="50" t="str">
        <f t="shared" si="26"/>
        <v>Study</v>
      </c>
      <c r="R37" s="48">
        <f t="shared" si="4"/>
        <v>0</v>
      </c>
      <c r="S37" s="81">
        <f t="shared" si="27"/>
        <v>2</v>
      </c>
      <c r="T37" s="48">
        <f t="shared" si="37"/>
        <v>8</v>
      </c>
      <c r="U37" s="49">
        <v>2</v>
      </c>
      <c r="V37" s="50" t="str">
        <f t="shared" si="5"/>
        <v>Study</v>
      </c>
      <c r="W37" s="50"/>
      <c r="X37" s="50" t="str">
        <f t="shared" si="28"/>
        <v>Study</v>
      </c>
      <c r="Y37" s="48">
        <f t="shared" si="6"/>
        <v>0</v>
      </c>
      <c r="Z37" s="81">
        <f t="shared" si="29"/>
        <v>2</v>
      </c>
      <c r="AA37" s="48">
        <f t="shared" si="38"/>
        <v>8</v>
      </c>
      <c r="AB37" s="49">
        <v>2</v>
      </c>
      <c r="AC37" s="50" t="str">
        <f t="shared" si="7"/>
        <v>Study</v>
      </c>
      <c r="AD37" s="50"/>
      <c r="AE37" s="50" t="str">
        <f t="shared" si="30"/>
        <v>Study</v>
      </c>
      <c r="AF37" s="48">
        <f t="shared" si="8"/>
        <v>0</v>
      </c>
      <c r="AG37" s="81">
        <f t="shared" si="31"/>
        <v>2</v>
      </c>
      <c r="AH37" s="48">
        <f t="shared" si="39"/>
        <v>8</v>
      </c>
      <c r="AI37" s="49">
        <v>2</v>
      </c>
      <c r="AJ37" s="50" t="str">
        <f t="shared" si="9"/>
        <v>Study</v>
      </c>
      <c r="AK37" s="50"/>
      <c r="AL37" s="50" t="str">
        <f t="shared" si="44"/>
        <v>Study</v>
      </c>
      <c r="AM37" s="48">
        <f t="shared" si="11"/>
        <v>0</v>
      </c>
      <c r="AN37" s="81">
        <f t="shared" si="32"/>
        <v>2</v>
      </c>
      <c r="AO37" s="48">
        <f t="shared" si="40"/>
        <v>8</v>
      </c>
      <c r="AP37" s="49">
        <v>2</v>
      </c>
      <c r="AQ37" s="50" t="str">
        <f t="shared" si="12"/>
        <v>Study</v>
      </c>
      <c r="AR37" s="50"/>
      <c r="AS37" s="50" t="str">
        <f t="shared" si="33"/>
        <v>Study</v>
      </c>
      <c r="AT37" s="48">
        <f t="shared" si="13"/>
        <v>0</v>
      </c>
      <c r="AU37" s="81">
        <f t="shared" si="34"/>
        <v>2</v>
      </c>
      <c r="AV37" s="48">
        <f t="shared" si="41"/>
        <v>8</v>
      </c>
      <c r="AW37" s="49">
        <v>2</v>
      </c>
      <c r="AX37" s="50" t="str">
        <f t="shared" si="14"/>
        <v>Study</v>
      </c>
      <c r="AY37" s="50"/>
      <c r="AZ37" s="50" t="str">
        <f t="shared" si="35"/>
        <v>Study</v>
      </c>
      <c r="BA37" s="45">
        <f t="shared" si="45"/>
        <v>0</v>
      </c>
      <c r="BB37" s="45">
        <f t="shared" si="46"/>
        <v>2</v>
      </c>
      <c r="BC37" s="45">
        <f t="shared" si="47"/>
        <v>8</v>
      </c>
      <c r="BD37" s="45">
        <f t="shared" si="48"/>
        <v>2</v>
      </c>
      <c r="BE37" s="45" t="str">
        <f t="shared" si="49"/>
        <v>Study</v>
      </c>
      <c r="BF37" s="45">
        <f t="shared" si="50"/>
        <v>0</v>
      </c>
      <c r="BG37" s="46" t="str">
        <f t="shared" si="51"/>
        <v>Study</v>
      </c>
    </row>
    <row r="38" spans="1:59" s="38" customFormat="1" ht="24">
      <c r="A38" s="39"/>
      <c r="B38" s="40">
        <v>32</v>
      </c>
      <c r="C38" s="51">
        <v>0.375</v>
      </c>
      <c r="D38" s="41">
        <f t="shared" si="0"/>
        <v>0</v>
      </c>
      <c r="E38" s="86">
        <f t="shared" si="22"/>
        <v>2.25</v>
      </c>
      <c r="F38" s="41">
        <f t="shared" si="23"/>
        <v>9</v>
      </c>
      <c r="G38" s="42">
        <v>2</v>
      </c>
      <c r="H38" s="43" t="str">
        <f t="shared" si="43"/>
        <v>Study</v>
      </c>
      <c r="I38" s="43"/>
      <c r="J38" s="43" t="str">
        <f t="shared" si="24"/>
        <v>Study</v>
      </c>
      <c r="K38" s="41">
        <f t="shared" si="2"/>
        <v>0</v>
      </c>
      <c r="L38" s="80">
        <f t="shared" si="25"/>
        <v>2.25</v>
      </c>
      <c r="M38" s="41">
        <f t="shared" si="36"/>
        <v>9</v>
      </c>
      <c r="N38" s="42">
        <v>2</v>
      </c>
      <c r="O38" s="43" t="str">
        <f t="shared" si="3"/>
        <v>Study</v>
      </c>
      <c r="P38" s="43"/>
      <c r="Q38" s="43" t="str">
        <f t="shared" si="26"/>
        <v>Study</v>
      </c>
      <c r="R38" s="41">
        <f t="shared" si="4"/>
        <v>0</v>
      </c>
      <c r="S38" s="80">
        <f t="shared" si="27"/>
        <v>2.25</v>
      </c>
      <c r="T38" s="41">
        <f t="shared" si="37"/>
        <v>9</v>
      </c>
      <c r="U38" s="42">
        <v>2</v>
      </c>
      <c r="V38" s="43" t="str">
        <f t="shared" si="5"/>
        <v>Study</v>
      </c>
      <c r="W38" s="43"/>
      <c r="X38" s="43" t="str">
        <f t="shared" si="28"/>
        <v>Study</v>
      </c>
      <c r="Y38" s="41">
        <f t="shared" si="6"/>
        <v>0</v>
      </c>
      <c r="Z38" s="80">
        <f t="shared" si="29"/>
        <v>2.25</v>
      </c>
      <c r="AA38" s="41">
        <f t="shared" si="38"/>
        <v>9</v>
      </c>
      <c r="AB38" s="42">
        <v>2</v>
      </c>
      <c r="AC38" s="43" t="str">
        <f t="shared" si="7"/>
        <v>Study</v>
      </c>
      <c r="AD38" s="43"/>
      <c r="AE38" s="43" t="str">
        <f t="shared" si="30"/>
        <v>Study</v>
      </c>
      <c r="AF38" s="41">
        <f t="shared" si="8"/>
        <v>0</v>
      </c>
      <c r="AG38" s="80">
        <f t="shared" si="31"/>
        <v>2.25</v>
      </c>
      <c r="AH38" s="41">
        <f t="shared" si="39"/>
        <v>9</v>
      </c>
      <c r="AI38" s="42">
        <v>2</v>
      </c>
      <c r="AJ38" s="43" t="str">
        <f t="shared" si="9"/>
        <v>Study</v>
      </c>
      <c r="AK38" s="43"/>
      <c r="AL38" s="43" t="str">
        <f t="shared" si="44"/>
        <v>Study</v>
      </c>
      <c r="AM38" s="41">
        <f t="shared" si="11"/>
        <v>0</v>
      </c>
      <c r="AN38" s="80">
        <f t="shared" si="32"/>
        <v>2.25</v>
      </c>
      <c r="AO38" s="41">
        <f t="shared" si="40"/>
        <v>9</v>
      </c>
      <c r="AP38" s="42">
        <v>2</v>
      </c>
      <c r="AQ38" s="43" t="str">
        <f t="shared" si="12"/>
        <v>Study</v>
      </c>
      <c r="AR38" s="43"/>
      <c r="AS38" s="43" t="str">
        <f t="shared" si="33"/>
        <v>Study</v>
      </c>
      <c r="AT38" s="41">
        <f t="shared" si="13"/>
        <v>0</v>
      </c>
      <c r="AU38" s="80">
        <f t="shared" si="34"/>
        <v>2.25</v>
      </c>
      <c r="AV38" s="41">
        <f t="shared" si="41"/>
        <v>9</v>
      </c>
      <c r="AW38" s="42">
        <v>2</v>
      </c>
      <c r="AX38" s="43" t="str">
        <f t="shared" si="14"/>
        <v>Study</v>
      </c>
      <c r="AY38" s="43"/>
      <c r="AZ38" s="43" t="str">
        <f t="shared" si="35"/>
        <v>Study</v>
      </c>
      <c r="BA38" s="45">
        <f t="shared" si="45"/>
        <v>0</v>
      </c>
      <c r="BB38" s="45">
        <f t="shared" si="46"/>
        <v>2.25</v>
      </c>
      <c r="BC38" s="45">
        <f t="shared" si="47"/>
        <v>9</v>
      </c>
      <c r="BD38" s="45">
        <f t="shared" si="48"/>
        <v>2</v>
      </c>
      <c r="BE38" s="45" t="str">
        <f t="shared" si="49"/>
        <v>Study</v>
      </c>
      <c r="BF38" s="45">
        <f t="shared" si="50"/>
        <v>0</v>
      </c>
      <c r="BG38" s="46" t="str">
        <f t="shared" si="51"/>
        <v>Study</v>
      </c>
    </row>
    <row r="39" spans="1:59" s="38" customFormat="1" ht="24">
      <c r="A39" s="52"/>
      <c r="B39" s="55">
        <v>33</v>
      </c>
      <c r="C39" s="47">
        <v>0.38541666666666702</v>
      </c>
      <c r="D39" s="48">
        <f t="shared" si="0"/>
        <v>0</v>
      </c>
      <c r="E39" s="83">
        <f t="shared" si="22"/>
        <v>2.5</v>
      </c>
      <c r="F39" s="48">
        <f t="shared" si="23"/>
        <v>10</v>
      </c>
      <c r="G39" s="49">
        <v>2</v>
      </c>
      <c r="H39" s="50" t="str">
        <f t="shared" si="43"/>
        <v>Study</v>
      </c>
      <c r="I39" s="50"/>
      <c r="J39" s="50" t="str">
        <f t="shared" si="24"/>
        <v>Study</v>
      </c>
      <c r="K39" s="48">
        <f t="shared" si="2"/>
        <v>0</v>
      </c>
      <c r="L39" s="81">
        <f t="shared" si="25"/>
        <v>2.5</v>
      </c>
      <c r="M39" s="48">
        <f t="shared" si="36"/>
        <v>10</v>
      </c>
      <c r="N39" s="49">
        <v>2</v>
      </c>
      <c r="O39" s="50" t="str">
        <f t="shared" si="3"/>
        <v>Study</v>
      </c>
      <c r="P39" s="50"/>
      <c r="Q39" s="50" t="str">
        <f t="shared" si="26"/>
        <v>Study</v>
      </c>
      <c r="R39" s="48">
        <f t="shared" si="4"/>
        <v>0</v>
      </c>
      <c r="S39" s="81">
        <f t="shared" si="27"/>
        <v>2.5</v>
      </c>
      <c r="T39" s="48">
        <f t="shared" si="37"/>
        <v>10</v>
      </c>
      <c r="U39" s="49">
        <v>2</v>
      </c>
      <c r="V39" s="50" t="str">
        <f t="shared" si="5"/>
        <v>Study</v>
      </c>
      <c r="W39" s="50"/>
      <c r="X39" s="50" t="str">
        <f t="shared" si="28"/>
        <v>Study</v>
      </c>
      <c r="Y39" s="48">
        <f t="shared" si="6"/>
        <v>0</v>
      </c>
      <c r="Z39" s="81">
        <f t="shared" si="29"/>
        <v>2.5</v>
      </c>
      <c r="AA39" s="48">
        <f t="shared" si="38"/>
        <v>10</v>
      </c>
      <c r="AB39" s="49">
        <v>2</v>
      </c>
      <c r="AC39" s="50" t="str">
        <f t="shared" si="7"/>
        <v>Study</v>
      </c>
      <c r="AD39" s="50"/>
      <c r="AE39" s="50" t="str">
        <f t="shared" si="30"/>
        <v>Study</v>
      </c>
      <c r="AF39" s="48">
        <f t="shared" si="8"/>
        <v>0</v>
      </c>
      <c r="AG39" s="81">
        <f t="shared" si="31"/>
        <v>2.5</v>
      </c>
      <c r="AH39" s="48">
        <f t="shared" si="39"/>
        <v>10</v>
      </c>
      <c r="AI39" s="49">
        <v>2</v>
      </c>
      <c r="AJ39" s="50" t="str">
        <f t="shared" si="9"/>
        <v>Study</v>
      </c>
      <c r="AK39" s="50"/>
      <c r="AL39" s="50" t="str">
        <f t="shared" si="44"/>
        <v>Study</v>
      </c>
      <c r="AM39" s="48">
        <f t="shared" si="11"/>
        <v>0</v>
      </c>
      <c r="AN39" s="81">
        <f t="shared" si="32"/>
        <v>2.5</v>
      </c>
      <c r="AO39" s="48">
        <f t="shared" si="40"/>
        <v>10</v>
      </c>
      <c r="AP39" s="49">
        <v>2</v>
      </c>
      <c r="AQ39" s="50" t="str">
        <f t="shared" si="12"/>
        <v>Study</v>
      </c>
      <c r="AR39" s="50"/>
      <c r="AS39" s="50" t="str">
        <f t="shared" si="33"/>
        <v>Study</v>
      </c>
      <c r="AT39" s="48">
        <f t="shared" si="13"/>
        <v>0</v>
      </c>
      <c r="AU39" s="81">
        <f t="shared" si="34"/>
        <v>2.5</v>
      </c>
      <c r="AV39" s="48">
        <f t="shared" si="41"/>
        <v>10</v>
      </c>
      <c r="AW39" s="49">
        <v>2</v>
      </c>
      <c r="AX39" s="50" t="str">
        <f t="shared" si="14"/>
        <v>Study</v>
      </c>
      <c r="AY39" s="50"/>
      <c r="AZ39" s="50" t="str">
        <f t="shared" si="35"/>
        <v>Study</v>
      </c>
      <c r="BA39" s="45">
        <f t="shared" si="45"/>
        <v>0</v>
      </c>
      <c r="BB39" s="45">
        <f t="shared" si="46"/>
        <v>2.5</v>
      </c>
      <c r="BC39" s="45">
        <f t="shared" si="47"/>
        <v>10</v>
      </c>
      <c r="BD39" s="45">
        <f t="shared" si="48"/>
        <v>2</v>
      </c>
      <c r="BE39" s="45" t="str">
        <f t="shared" si="49"/>
        <v>Study</v>
      </c>
      <c r="BF39" s="45">
        <f t="shared" si="50"/>
        <v>0</v>
      </c>
      <c r="BG39" s="46" t="str">
        <f t="shared" si="51"/>
        <v>Study</v>
      </c>
    </row>
    <row r="40" spans="1:59" s="38" customFormat="1" ht="24">
      <c r="A40" s="39"/>
      <c r="B40" s="54">
        <v>34</v>
      </c>
      <c r="C40" s="51">
        <v>0.39583333333333298</v>
      </c>
      <c r="D40" s="41">
        <f t="shared" si="0"/>
        <v>0</v>
      </c>
      <c r="E40" s="86">
        <f t="shared" si="22"/>
        <v>2.75</v>
      </c>
      <c r="F40" s="41">
        <f t="shared" si="23"/>
        <v>11</v>
      </c>
      <c r="G40" s="42">
        <v>2</v>
      </c>
      <c r="H40" s="43" t="str">
        <f t="shared" si="43"/>
        <v>Study</v>
      </c>
      <c r="I40" s="43"/>
      <c r="J40" s="43" t="str">
        <f t="shared" si="24"/>
        <v>Study</v>
      </c>
      <c r="K40" s="41">
        <f t="shared" si="2"/>
        <v>0</v>
      </c>
      <c r="L40" s="80">
        <f t="shared" si="25"/>
        <v>2.75</v>
      </c>
      <c r="M40" s="41">
        <f t="shared" si="36"/>
        <v>11</v>
      </c>
      <c r="N40" s="42">
        <v>2</v>
      </c>
      <c r="O40" s="43" t="str">
        <f t="shared" si="3"/>
        <v>Study</v>
      </c>
      <c r="P40" s="43"/>
      <c r="Q40" s="43" t="str">
        <f t="shared" si="26"/>
        <v>Study</v>
      </c>
      <c r="R40" s="41">
        <f t="shared" si="4"/>
        <v>0</v>
      </c>
      <c r="S40" s="80">
        <f t="shared" si="27"/>
        <v>2.75</v>
      </c>
      <c r="T40" s="41">
        <f t="shared" si="37"/>
        <v>11</v>
      </c>
      <c r="U40" s="42">
        <v>2</v>
      </c>
      <c r="V40" s="43" t="str">
        <f t="shared" si="5"/>
        <v>Study</v>
      </c>
      <c r="W40" s="43"/>
      <c r="X40" s="43" t="str">
        <f t="shared" si="28"/>
        <v>Study</v>
      </c>
      <c r="Y40" s="41">
        <f t="shared" si="6"/>
        <v>0</v>
      </c>
      <c r="Z40" s="80">
        <f t="shared" si="29"/>
        <v>2.75</v>
      </c>
      <c r="AA40" s="41">
        <f t="shared" si="38"/>
        <v>11</v>
      </c>
      <c r="AB40" s="42">
        <v>2</v>
      </c>
      <c r="AC40" s="43" t="str">
        <f t="shared" si="7"/>
        <v>Study</v>
      </c>
      <c r="AD40" s="43"/>
      <c r="AE40" s="43" t="str">
        <f t="shared" si="30"/>
        <v>Study</v>
      </c>
      <c r="AF40" s="41">
        <f t="shared" si="8"/>
        <v>0</v>
      </c>
      <c r="AG40" s="80">
        <f t="shared" si="31"/>
        <v>2.75</v>
      </c>
      <c r="AH40" s="41">
        <f t="shared" si="39"/>
        <v>11</v>
      </c>
      <c r="AI40" s="42">
        <v>2</v>
      </c>
      <c r="AJ40" s="43" t="str">
        <f t="shared" si="9"/>
        <v>Study</v>
      </c>
      <c r="AK40" s="43"/>
      <c r="AL40" s="43" t="str">
        <f t="shared" si="44"/>
        <v>Study</v>
      </c>
      <c r="AM40" s="41">
        <f t="shared" si="11"/>
        <v>0</v>
      </c>
      <c r="AN40" s="80">
        <f t="shared" si="32"/>
        <v>2.75</v>
      </c>
      <c r="AO40" s="41">
        <f t="shared" si="40"/>
        <v>11</v>
      </c>
      <c r="AP40" s="42">
        <v>2</v>
      </c>
      <c r="AQ40" s="43" t="str">
        <f t="shared" si="12"/>
        <v>Study</v>
      </c>
      <c r="AR40" s="43"/>
      <c r="AS40" s="43" t="str">
        <f t="shared" si="33"/>
        <v>Study</v>
      </c>
      <c r="AT40" s="41">
        <f t="shared" si="13"/>
        <v>0</v>
      </c>
      <c r="AU40" s="80">
        <f t="shared" si="34"/>
        <v>2.75</v>
      </c>
      <c r="AV40" s="41">
        <f t="shared" si="41"/>
        <v>11</v>
      </c>
      <c r="AW40" s="42">
        <v>2</v>
      </c>
      <c r="AX40" s="43" t="str">
        <f t="shared" si="14"/>
        <v>Study</v>
      </c>
      <c r="AY40" s="43"/>
      <c r="AZ40" s="43" t="str">
        <f t="shared" si="35"/>
        <v>Study</v>
      </c>
      <c r="BA40" s="45">
        <f t="shared" si="45"/>
        <v>0</v>
      </c>
      <c r="BB40" s="45">
        <f t="shared" si="46"/>
        <v>2.75</v>
      </c>
      <c r="BC40" s="45">
        <f t="shared" si="47"/>
        <v>11</v>
      </c>
      <c r="BD40" s="45">
        <f t="shared" si="48"/>
        <v>2</v>
      </c>
      <c r="BE40" s="45" t="str">
        <f t="shared" si="49"/>
        <v>Study</v>
      </c>
      <c r="BF40" s="45">
        <f t="shared" si="50"/>
        <v>0</v>
      </c>
      <c r="BG40" s="46" t="str">
        <f t="shared" si="51"/>
        <v>Study</v>
      </c>
    </row>
    <row r="41" spans="1:59" s="38" customFormat="1" ht="24">
      <c r="A41" s="52"/>
      <c r="B41" s="55">
        <v>35</v>
      </c>
      <c r="C41" s="47">
        <v>0.40625</v>
      </c>
      <c r="D41" s="48">
        <f t="shared" si="0"/>
        <v>0</v>
      </c>
      <c r="E41" s="83">
        <f t="shared" si="22"/>
        <v>3</v>
      </c>
      <c r="F41" s="48">
        <f t="shared" si="23"/>
        <v>12</v>
      </c>
      <c r="G41" s="49">
        <v>2</v>
      </c>
      <c r="H41" s="50" t="str">
        <f t="shared" si="43"/>
        <v>Study</v>
      </c>
      <c r="I41" s="50"/>
      <c r="J41" s="50" t="str">
        <f t="shared" si="24"/>
        <v>Study</v>
      </c>
      <c r="K41" s="48">
        <f t="shared" si="2"/>
        <v>0</v>
      </c>
      <c r="L41" s="81">
        <f t="shared" si="25"/>
        <v>3</v>
      </c>
      <c r="M41" s="48">
        <f t="shared" si="36"/>
        <v>12</v>
      </c>
      <c r="N41" s="49">
        <v>2</v>
      </c>
      <c r="O41" s="50" t="str">
        <f t="shared" si="3"/>
        <v>Study</v>
      </c>
      <c r="P41" s="50"/>
      <c r="Q41" s="50" t="str">
        <f t="shared" si="26"/>
        <v>Study</v>
      </c>
      <c r="R41" s="48">
        <f t="shared" si="4"/>
        <v>0</v>
      </c>
      <c r="S41" s="81">
        <f t="shared" si="27"/>
        <v>3</v>
      </c>
      <c r="T41" s="48">
        <f t="shared" si="37"/>
        <v>12</v>
      </c>
      <c r="U41" s="49">
        <v>2</v>
      </c>
      <c r="V41" s="50" t="str">
        <f t="shared" si="5"/>
        <v>Study</v>
      </c>
      <c r="W41" s="50"/>
      <c r="X41" s="50" t="str">
        <f t="shared" si="28"/>
        <v>Study</v>
      </c>
      <c r="Y41" s="48">
        <f t="shared" si="6"/>
        <v>0</v>
      </c>
      <c r="Z41" s="81">
        <f t="shared" si="29"/>
        <v>3</v>
      </c>
      <c r="AA41" s="48">
        <f t="shared" si="38"/>
        <v>12</v>
      </c>
      <c r="AB41" s="49">
        <v>2</v>
      </c>
      <c r="AC41" s="50" t="str">
        <f t="shared" si="7"/>
        <v>Study</v>
      </c>
      <c r="AD41" s="50"/>
      <c r="AE41" s="50" t="str">
        <f t="shared" si="30"/>
        <v>Study</v>
      </c>
      <c r="AF41" s="48">
        <f t="shared" si="8"/>
        <v>0</v>
      </c>
      <c r="AG41" s="81">
        <f t="shared" si="31"/>
        <v>3</v>
      </c>
      <c r="AH41" s="48">
        <f t="shared" si="39"/>
        <v>12</v>
      </c>
      <c r="AI41" s="49">
        <v>2</v>
      </c>
      <c r="AJ41" s="50" t="str">
        <f t="shared" si="9"/>
        <v>Study</v>
      </c>
      <c r="AK41" s="50"/>
      <c r="AL41" s="50" t="str">
        <f t="shared" si="44"/>
        <v>Study</v>
      </c>
      <c r="AM41" s="48">
        <f t="shared" si="11"/>
        <v>0</v>
      </c>
      <c r="AN41" s="81">
        <f t="shared" si="32"/>
        <v>3</v>
      </c>
      <c r="AO41" s="48">
        <f t="shared" si="40"/>
        <v>12</v>
      </c>
      <c r="AP41" s="49">
        <v>2</v>
      </c>
      <c r="AQ41" s="50" t="str">
        <f t="shared" si="12"/>
        <v>Study</v>
      </c>
      <c r="AR41" s="50"/>
      <c r="AS41" s="50" t="str">
        <f t="shared" si="33"/>
        <v>Study</v>
      </c>
      <c r="AT41" s="48">
        <f t="shared" si="13"/>
        <v>0</v>
      </c>
      <c r="AU41" s="81">
        <f t="shared" si="34"/>
        <v>3</v>
      </c>
      <c r="AV41" s="48">
        <f t="shared" si="41"/>
        <v>12</v>
      </c>
      <c r="AW41" s="49">
        <v>2</v>
      </c>
      <c r="AX41" s="50" t="str">
        <f t="shared" si="14"/>
        <v>Study</v>
      </c>
      <c r="AY41" s="50"/>
      <c r="AZ41" s="50" t="str">
        <f t="shared" si="35"/>
        <v>Study</v>
      </c>
      <c r="BA41" s="45">
        <f t="shared" si="45"/>
        <v>0</v>
      </c>
      <c r="BB41" s="45">
        <f t="shared" si="46"/>
        <v>3</v>
      </c>
      <c r="BC41" s="45">
        <f t="shared" si="47"/>
        <v>12</v>
      </c>
      <c r="BD41" s="45">
        <f t="shared" si="48"/>
        <v>2</v>
      </c>
      <c r="BE41" s="45" t="str">
        <f t="shared" si="49"/>
        <v>Study</v>
      </c>
      <c r="BF41" s="45">
        <f t="shared" si="50"/>
        <v>0</v>
      </c>
      <c r="BG41" s="46" t="str">
        <f t="shared" si="51"/>
        <v>Study</v>
      </c>
    </row>
    <row r="42" spans="1:59" s="38" customFormat="1" ht="24">
      <c r="A42" s="39"/>
      <c r="B42" s="54">
        <v>36</v>
      </c>
      <c r="C42" s="51">
        <v>0.41666666666666702</v>
      </c>
      <c r="D42" s="41">
        <f t="shared" si="0"/>
        <v>0</v>
      </c>
      <c r="E42" s="86">
        <f t="shared" si="22"/>
        <v>3.25</v>
      </c>
      <c r="F42" s="41">
        <f t="shared" si="23"/>
        <v>13</v>
      </c>
      <c r="G42" s="42">
        <v>2</v>
      </c>
      <c r="H42" s="43" t="str">
        <f t="shared" si="43"/>
        <v>Study</v>
      </c>
      <c r="I42" s="43"/>
      <c r="J42" s="43" t="str">
        <f t="shared" si="24"/>
        <v>Study</v>
      </c>
      <c r="K42" s="41">
        <f t="shared" si="2"/>
        <v>0</v>
      </c>
      <c r="L42" s="80">
        <f t="shared" si="25"/>
        <v>3.25</v>
      </c>
      <c r="M42" s="41">
        <f t="shared" si="36"/>
        <v>13</v>
      </c>
      <c r="N42" s="42">
        <v>2</v>
      </c>
      <c r="O42" s="43" t="str">
        <f t="shared" si="3"/>
        <v>Study</v>
      </c>
      <c r="P42" s="43"/>
      <c r="Q42" s="43" t="str">
        <f t="shared" si="26"/>
        <v>Study</v>
      </c>
      <c r="R42" s="41">
        <f t="shared" si="4"/>
        <v>0</v>
      </c>
      <c r="S42" s="80">
        <f t="shared" si="27"/>
        <v>3.25</v>
      </c>
      <c r="T42" s="41">
        <f t="shared" si="37"/>
        <v>13</v>
      </c>
      <c r="U42" s="42">
        <v>2</v>
      </c>
      <c r="V42" s="43" t="str">
        <f t="shared" si="5"/>
        <v>Study</v>
      </c>
      <c r="W42" s="43"/>
      <c r="X42" s="43" t="str">
        <f t="shared" si="28"/>
        <v>Study</v>
      </c>
      <c r="Y42" s="41">
        <f t="shared" si="6"/>
        <v>0</v>
      </c>
      <c r="Z42" s="80">
        <f t="shared" si="29"/>
        <v>3.25</v>
      </c>
      <c r="AA42" s="41">
        <f t="shared" si="38"/>
        <v>13</v>
      </c>
      <c r="AB42" s="42">
        <v>2</v>
      </c>
      <c r="AC42" s="43" t="str">
        <f t="shared" si="7"/>
        <v>Study</v>
      </c>
      <c r="AD42" s="43"/>
      <c r="AE42" s="43" t="str">
        <f t="shared" si="30"/>
        <v>Study</v>
      </c>
      <c r="AF42" s="41">
        <f t="shared" si="8"/>
        <v>0</v>
      </c>
      <c r="AG42" s="80">
        <f t="shared" si="31"/>
        <v>3.25</v>
      </c>
      <c r="AH42" s="41">
        <f t="shared" si="39"/>
        <v>13</v>
      </c>
      <c r="AI42" s="42">
        <v>2</v>
      </c>
      <c r="AJ42" s="43" t="str">
        <f t="shared" si="9"/>
        <v>Study</v>
      </c>
      <c r="AK42" s="43"/>
      <c r="AL42" s="43" t="str">
        <f t="shared" si="44"/>
        <v>Study</v>
      </c>
      <c r="AM42" s="41">
        <f t="shared" si="11"/>
        <v>0</v>
      </c>
      <c r="AN42" s="80">
        <f t="shared" si="32"/>
        <v>3.25</v>
      </c>
      <c r="AO42" s="41">
        <f t="shared" si="40"/>
        <v>13</v>
      </c>
      <c r="AP42" s="42">
        <v>2</v>
      </c>
      <c r="AQ42" s="43" t="str">
        <f t="shared" si="12"/>
        <v>Study</v>
      </c>
      <c r="AR42" s="43"/>
      <c r="AS42" s="43" t="str">
        <f t="shared" si="33"/>
        <v>Study</v>
      </c>
      <c r="AT42" s="41">
        <f t="shared" si="13"/>
        <v>0</v>
      </c>
      <c r="AU42" s="80">
        <f t="shared" si="34"/>
        <v>3.25</v>
      </c>
      <c r="AV42" s="41">
        <f t="shared" si="41"/>
        <v>13</v>
      </c>
      <c r="AW42" s="42">
        <v>2</v>
      </c>
      <c r="AX42" s="43" t="str">
        <f t="shared" si="14"/>
        <v>Study</v>
      </c>
      <c r="AY42" s="43"/>
      <c r="AZ42" s="43" t="str">
        <f t="shared" si="35"/>
        <v>Study</v>
      </c>
      <c r="BA42" s="45">
        <f t="shared" si="45"/>
        <v>0</v>
      </c>
      <c r="BB42" s="45">
        <f t="shared" si="46"/>
        <v>3.25</v>
      </c>
      <c r="BC42" s="45">
        <f t="shared" si="47"/>
        <v>13</v>
      </c>
      <c r="BD42" s="45">
        <f t="shared" si="48"/>
        <v>2</v>
      </c>
      <c r="BE42" s="45" t="str">
        <f t="shared" si="49"/>
        <v>Study</v>
      </c>
      <c r="BF42" s="45">
        <f t="shared" si="50"/>
        <v>0</v>
      </c>
      <c r="BG42" s="46" t="str">
        <f t="shared" si="51"/>
        <v>Study</v>
      </c>
    </row>
    <row r="43" spans="1:59" s="38" customFormat="1" ht="24">
      <c r="A43" s="52"/>
      <c r="B43" s="55">
        <v>37</v>
      </c>
      <c r="C43" s="47">
        <v>0.42708333333333298</v>
      </c>
      <c r="D43" s="48">
        <f t="shared" si="0"/>
        <v>0</v>
      </c>
      <c r="E43" s="83">
        <f t="shared" si="22"/>
        <v>3.5</v>
      </c>
      <c r="F43" s="48">
        <f t="shared" si="23"/>
        <v>14</v>
      </c>
      <c r="G43" s="49">
        <v>2</v>
      </c>
      <c r="H43" s="50" t="str">
        <f t="shared" si="43"/>
        <v>Study</v>
      </c>
      <c r="I43" s="50"/>
      <c r="J43" s="50" t="str">
        <f t="shared" si="24"/>
        <v>Study</v>
      </c>
      <c r="K43" s="48">
        <f t="shared" si="2"/>
        <v>0</v>
      </c>
      <c r="L43" s="81">
        <f t="shared" si="25"/>
        <v>3.5</v>
      </c>
      <c r="M43" s="48">
        <f t="shared" si="36"/>
        <v>14</v>
      </c>
      <c r="N43" s="49">
        <v>2</v>
      </c>
      <c r="O43" s="50" t="str">
        <f t="shared" si="3"/>
        <v>Study</v>
      </c>
      <c r="P43" s="50"/>
      <c r="Q43" s="50" t="str">
        <f t="shared" si="26"/>
        <v>Study</v>
      </c>
      <c r="R43" s="48">
        <f t="shared" si="4"/>
        <v>0</v>
      </c>
      <c r="S43" s="81">
        <f t="shared" si="27"/>
        <v>3.5</v>
      </c>
      <c r="T43" s="48">
        <f t="shared" si="37"/>
        <v>14</v>
      </c>
      <c r="U43" s="49">
        <v>2</v>
      </c>
      <c r="V43" s="50" t="str">
        <f t="shared" si="5"/>
        <v>Study</v>
      </c>
      <c r="W43" s="50"/>
      <c r="X43" s="50" t="str">
        <f t="shared" si="28"/>
        <v>Study</v>
      </c>
      <c r="Y43" s="48">
        <f t="shared" si="6"/>
        <v>0</v>
      </c>
      <c r="Z43" s="81">
        <f t="shared" si="29"/>
        <v>3.5</v>
      </c>
      <c r="AA43" s="48">
        <f t="shared" si="38"/>
        <v>14</v>
      </c>
      <c r="AB43" s="49">
        <v>2</v>
      </c>
      <c r="AC43" s="50" t="str">
        <f t="shared" si="7"/>
        <v>Study</v>
      </c>
      <c r="AD43" s="50"/>
      <c r="AE43" s="50" t="str">
        <f t="shared" si="30"/>
        <v>Study</v>
      </c>
      <c r="AF43" s="48">
        <f t="shared" si="8"/>
        <v>0</v>
      </c>
      <c r="AG43" s="81">
        <f t="shared" si="31"/>
        <v>3.5</v>
      </c>
      <c r="AH43" s="48">
        <f t="shared" si="39"/>
        <v>14</v>
      </c>
      <c r="AI43" s="49">
        <v>2</v>
      </c>
      <c r="AJ43" s="50" t="str">
        <f t="shared" si="9"/>
        <v>Study</v>
      </c>
      <c r="AK43" s="50"/>
      <c r="AL43" s="50" t="str">
        <f t="shared" si="44"/>
        <v>Study</v>
      </c>
      <c r="AM43" s="48">
        <f t="shared" si="11"/>
        <v>0</v>
      </c>
      <c r="AN43" s="81">
        <f t="shared" si="32"/>
        <v>3.5</v>
      </c>
      <c r="AO43" s="48">
        <f t="shared" si="40"/>
        <v>14</v>
      </c>
      <c r="AP43" s="49">
        <v>2</v>
      </c>
      <c r="AQ43" s="50" t="str">
        <f t="shared" si="12"/>
        <v>Study</v>
      </c>
      <c r="AR43" s="50"/>
      <c r="AS43" s="50" t="str">
        <f t="shared" si="33"/>
        <v>Study</v>
      </c>
      <c r="AT43" s="48">
        <f t="shared" si="13"/>
        <v>0</v>
      </c>
      <c r="AU43" s="81">
        <f t="shared" si="34"/>
        <v>3.5</v>
      </c>
      <c r="AV43" s="48">
        <f t="shared" si="41"/>
        <v>14</v>
      </c>
      <c r="AW43" s="49">
        <v>2</v>
      </c>
      <c r="AX43" s="50" t="str">
        <f t="shared" si="14"/>
        <v>Study</v>
      </c>
      <c r="AY43" s="50"/>
      <c r="AZ43" s="50" t="str">
        <f t="shared" si="35"/>
        <v>Study</v>
      </c>
      <c r="BA43" s="45">
        <f t="shared" si="45"/>
        <v>0</v>
      </c>
      <c r="BB43" s="45">
        <f t="shared" si="46"/>
        <v>3.5</v>
      </c>
      <c r="BC43" s="45">
        <f t="shared" si="47"/>
        <v>14</v>
      </c>
      <c r="BD43" s="45">
        <f t="shared" si="48"/>
        <v>2</v>
      </c>
      <c r="BE43" s="45" t="str">
        <f t="shared" si="49"/>
        <v>Study</v>
      </c>
      <c r="BF43" s="45">
        <f t="shared" si="50"/>
        <v>0</v>
      </c>
      <c r="BG43" s="46" t="str">
        <f t="shared" si="51"/>
        <v>Study</v>
      </c>
    </row>
    <row r="44" spans="1:59" s="38" customFormat="1" ht="24">
      <c r="A44" s="56"/>
      <c r="B44" s="57"/>
      <c r="C44" s="51">
        <v>0.4375</v>
      </c>
      <c r="D44" s="41">
        <f t="shared" si="0"/>
        <v>0</v>
      </c>
      <c r="E44" s="86">
        <f t="shared" si="22"/>
        <v>3.75</v>
      </c>
      <c r="F44" s="41">
        <f t="shared" si="23"/>
        <v>15</v>
      </c>
      <c r="G44" s="42">
        <v>2</v>
      </c>
      <c r="H44" s="43" t="str">
        <f t="shared" si="43"/>
        <v>Study</v>
      </c>
      <c r="I44" s="43"/>
      <c r="J44" s="43" t="str">
        <f t="shared" si="24"/>
        <v>Study</v>
      </c>
      <c r="K44" s="41">
        <f t="shared" si="2"/>
        <v>0</v>
      </c>
      <c r="L44" s="80">
        <f t="shared" si="25"/>
        <v>3.75</v>
      </c>
      <c r="M44" s="41">
        <f t="shared" si="36"/>
        <v>15</v>
      </c>
      <c r="N44" s="42">
        <v>2</v>
      </c>
      <c r="O44" s="43" t="str">
        <f t="shared" si="3"/>
        <v>Study</v>
      </c>
      <c r="P44" s="43"/>
      <c r="Q44" s="43" t="str">
        <f t="shared" si="26"/>
        <v>Study</v>
      </c>
      <c r="R44" s="41">
        <f t="shared" si="4"/>
        <v>0</v>
      </c>
      <c r="S44" s="80">
        <f t="shared" si="27"/>
        <v>3.75</v>
      </c>
      <c r="T44" s="41">
        <f t="shared" si="37"/>
        <v>15</v>
      </c>
      <c r="U44" s="42">
        <v>2</v>
      </c>
      <c r="V44" s="43" t="str">
        <f t="shared" si="5"/>
        <v>Study</v>
      </c>
      <c r="W44" s="43"/>
      <c r="X44" s="43" t="str">
        <f t="shared" si="28"/>
        <v>Study</v>
      </c>
      <c r="Y44" s="41">
        <f t="shared" si="6"/>
        <v>0</v>
      </c>
      <c r="Z44" s="80">
        <f t="shared" si="29"/>
        <v>3.75</v>
      </c>
      <c r="AA44" s="41">
        <f t="shared" si="38"/>
        <v>15</v>
      </c>
      <c r="AB44" s="42">
        <v>2</v>
      </c>
      <c r="AC44" s="43" t="str">
        <f t="shared" si="7"/>
        <v>Study</v>
      </c>
      <c r="AD44" s="43"/>
      <c r="AE44" s="43" t="str">
        <f t="shared" si="30"/>
        <v>Study</v>
      </c>
      <c r="AF44" s="41">
        <f t="shared" si="8"/>
        <v>0</v>
      </c>
      <c r="AG44" s="80">
        <f t="shared" si="31"/>
        <v>3.75</v>
      </c>
      <c r="AH44" s="41">
        <f t="shared" si="39"/>
        <v>15</v>
      </c>
      <c r="AI44" s="42">
        <v>2</v>
      </c>
      <c r="AJ44" s="43" t="str">
        <f t="shared" si="9"/>
        <v>Study</v>
      </c>
      <c r="AK44" s="43"/>
      <c r="AL44" s="43" t="str">
        <f t="shared" si="44"/>
        <v>Study</v>
      </c>
      <c r="AM44" s="41">
        <f t="shared" si="11"/>
        <v>0</v>
      </c>
      <c r="AN44" s="80">
        <f t="shared" si="32"/>
        <v>3.75</v>
      </c>
      <c r="AO44" s="41">
        <f t="shared" si="40"/>
        <v>15</v>
      </c>
      <c r="AP44" s="42">
        <v>2</v>
      </c>
      <c r="AQ44" s="43" t="str">
        <f t="shared" si="12"/>
        <v>Study</v>
      </c>
      <c r="AR44" s="43"/>
      <c r="AS44" s="43" t="str">
        <f t="shared" si="33"/>
        <v>Study</v>
      </c>
      <c r="AT44" s="41">
        <f t="shared" si="13"/>
        <v>0</v>
      </c>
      <c r="AU44" s="80">
        <f t="shared" si="34"/>
        <v>3.75</v>
      </c>
      <c r="AV44" s="41">
        <f t="shared" si="41"/>
        <v>15</v>
      </c>
      <c r="AW44" s="42">
        <v>2</v>
      </c>
      <c r="AX44" s="43" t="str">
        <f t="shared" si="14"/>
        <v>Study</v>
      </c>
      <c r="AY44" s="43"/>
      <c r="AZ44" s="43" t="str">
        <f t="shared" si="35"/>
        <v>Study</v>
      </c>
      <c r="BA44" s="45">
        <f t="shared" si="45"/>
        <v>0</v>
      </c>
      <c r="BB44" s="45">
        <f t="shared" si="46"/>
        <v>3.75</v>
      </c>
      <c r="BC44" s="45">
        <f t="shared" si="47"/>
        <v>15</v>
      </c>
      <c r="BD44" s="45">
        <f t="shared" si="48"/>
        <v>2</v>
      </c>
      <c r="BE44" s="45" t="str">
        <f t="shared" si="49"/>
        <v>Study</v>
      </c>
      <c r="BF44" s="45">
        <f t="shared" si="50"/>
        <v>0</v>
      </c>
      <c r="BG44" s="46" t="str">
        <f t="shared" si="51"/>
        <v>Study</v>
      </c>
    </row>
    <row r="45" spans="1:59" s="38" customFormat="1" ht="24">
      <c r="A45" s="56"/>
      <c r="B45" s="57"/>
      <c r="C45" s="47">
        <v>0.44791666666666702</v>
      </c>
      <c r="D45" s="48">
        <f t="shared" si="0"/>
        <v>0</v>
      </c>
      <c r="E45" s="83">
        <f t="shared" si="22"/>
        <v>4</v>
      </c>
      <c r="F45" s="48">
        <f t="shared" si="23"/>
        <v>16</v>
      </c>
      <c r="G45" s="49">
        <v>2</v>
      </c>
      <c r="H45" s="50" t="str">
        <f t="shared" si="43"/>
        <v>Study</v>
      </c>
      <c r="I45" s="50"/>
      <c r="J45" s="50" t="str">
        <f t="shared" si="24"/>
        <v>Study</v>
      </c>
      <c r="K45" s="48">
        <f t="shared" si="2"/>
        <v>0</v>
      </c>
      <c r="L45" s="81">
        <f t="shared" si="25"/>
        <v>4</v>
      </c>
      <c r="M45" s="48">
        <f t="shared" si="36"/>
        <v>16</v>
      </c>
      <c r="N45" s="49">
        <v>2</v>
      </c>
      <c r="O45" s="50" t="str">
        <f t="shared" si="3"/>
        <v>Study</v>
      </c>
      <c r="P45" s="50"/>
      <c r="Q45" s="50" t="str">
        <f t="shared" si="26"/>
        <v>Study</v>
      </c>
      <c r="R45" s="48">
        <f t="shared" si="4"/>
        <v>0</v>
      </c>
      <c r="S45" s="81">
        <f t="shared" si="27"/>
        <v>4</v>
      </c>
      <c r="T45" s="48">
        <f t="shared" si="37"/>
        <v>16</v>
      </c>
      <c r="U45" s="49">
        <v>2</v>
      </c>
      <c r="V45" s="50" t="str">
        <f t="shared" si="5"/>
        <v>Study</v>
      </c>
      <c r="W45" s="50"/>
      <c r="X45" s="50" t="str">
        <f t="shared" si="28"/>
        <v>Study</v>
      </c>
      <c r="Y45" s="48">
        <f t="shared" si="6"/>
        <v>0</v>
      </c>
      <c r="Z45" s="81">
        <f t="shared" si="29"/>
        <v>4</v>
      </c>
      <c r="AA45" s="48">
        <f t="shared" si="38"/>
        <v>16</v>
      </c>
      <c r="AB45" s="49">
        <v>2</v>
      </c>
      <c r="AC45" s="50" t="str">
        <f t="shared" si="7"/>
        <v>Study</v>
      </c>
      <c r="AD45" s="50"/>
      <c r="AE45" s="50" t="str">
        <f t="shared" si="30"/>
        <v>Study</v>
      </c>
      <c r="AF45" s="48">
        <f t="shared" si="8"/>
        <v>0</v>
      </c>
      <c r="AG45" s="81">
        <f t="shared" si="31"/>
        <v>4</v>
      </c>
      <c r="AH45" s="48">
        <f t="shared" si="39"/>
        <v>16</v>
      </c>
      <c r="AI45" s="49">
        <v>2</v>
      </c>
      <c r="AJ45" s="50" t="str">
        <f t="shared" si="9"/>
        <v>Study</v>
      </c>
      <c r="AK45" s="50"/>
      <c r="AL45" s="50" t="str">
        <f t="shared" si="44"/>
        <v>Study</v>
      </c>
      <c r="AM45" s="48">
        <f t="shared" si="11"/>
        <v>0</v>
      </c>
      <c r="AN45" s="81">
        <f t="shared" si="32"/>
        <v>4</v>
      </c>
      <c r="AO45" s="48">
        <f t="shared" si="40"/>
        <v>16</v>
      </c>
      <c r="AP45" s="49">
        <v>2</v>
      </c>
      <c r="AQ45" s="50" t="str">
        <f t="shared" si="12"/>
        <v>Study</v>
      </c>
      <c r="AR45" s="50"/>
      <c r="AS45" s="50" t="str">
        <f t="shared" si="33"/>
        <v>Study</v>
      </c>
      <c r="AT45" s="48">
        <f t="shared" si="13"/>
        <v>0</v>
      </c>
      <c r="AU45" s="81">
        <f t="shared" si="34"/>
        <v>4</v>
      </c>
      <c r="AV45" s="48">
        <f t="shared" si="41"/>
        <v>16</v>
      </c>
      <c r="AW45" s="49">
        <v>2</v>
      </c>
      <c r="AX45" s="50" t="str">
        <f t="shared" si="14"/>
        <v>Study</v>
      </c>
      <c r="AY45" s="50"/>
      <c r="AZ45" s="50" t="str">
        <f t="shared" si="35"/>
        <v>Study</v>
      </c>
      <c r="BA45" s="45">
        <f t="shared" si="45"/>
        <v>0</v>
      </c>
      <c r="BB45" s="45">
        <f t="shared" si="46"/>
        <v>4</v>
      </c>
      <c r="BC45" s="45">
        <f t="shared" si="47"/>
        <v>16</v>
      </c>
      <c r="BD45" s="45">
        <f t="shared" si="48"/>
        <v>2</v>
      </c>
      <c r="BE45" s="45" t="str">
        <f t="shared" si="49"/>
        <v>Study</v>
      </c>
      <c r="BF45" s="45">
        <f t="shared" si="50"/>
        <v>0</v>
      </c>
      <c r="BG45" s="46" t="str">
        <f t="shared" si="51"/>
        <v>Study</v>
      </c>
    </row>
    <row r="46" spans="1:59" s="38" customFormat="1" ht="24">
      <c r="A46" s="56"/>
      <c r="B46" s="57"/>
      <c r="C46" s="51">
        <v>0.45833333333333298</v>
      </c>
      <c r="D46" s="41">
        <f t="shared" si="0"/>
        <v>0</v>
      </c>
      <c r="E46" s="86">
        <f t="shared" si="22"/>
        <v>4.25</v>
      </c>
      <c r="F46" s="41">
        <f t="shared" si="23"/>
        <v>17</v>
      </c>
      <c r="G46" s="42">
        <v>2</v>
      </c>
      <c r="H46" s="43" t="str">
        <f t="shared" si="43"/>
        <v>Study</v>
      </c>
      <c r="I46" s="43"/>
      <c r="J46" s="43" t="str">
        <f t="shared" si="24"/>
        <v>Study</v>
      </c>
      <c r="K46" s="41">
        <f t="shared" si="2"/>
        <v>0</v>
      </c>
      <c r="L46" s="80">
        <f t="shared" si="25"/>
        <v>4.25</v>
      </c>
      <c r="M46" s="41">
        <f t="shared" si="36"/>
        <v>17</v>
      </c>
      <c r="N46" s="42">
        <v>2</v>
      </c>
      <c r="O46" s="43" t="str">
        <f t="shared" si="3"/>
        <v>Study</v>
      </c>
      <c r="P46" s="43"/>
      <c r="Q46" s="43" t="str">
        <f t="shared" si="26"/>
        <v>Study</v>
      </c>
      <c r="R46" s="41">
        <f t="shared" si="4"/>
        <v>0</v>
      </c>
      <c r="S46" s="80">
        <f t="shared" si="27"/>
        <v>4.25</v>
      </c>
      <c r="T46" s="41">
        <f t="shared" si="37"/>
        <v>17</v>
      </c>
      <c r="U46" s="42">
        <v>2</v>
      </c>
      <c r="V46" s="43" t="str">
        <f t="shared" si="5"/>
        <v>Study</v>
      </c>
      <c r="W46" s="43"/>
      <c r="X46" s="43" t="str">
        <f t="shared" si="28"/>
        <v>Study</v>
      </c>
      <c r="Y46" s="41">
        <f t="shared" si="6"/>
        <v>0</v>
      </c>
      <c r="Z46" s="80">
        <f t="shared" si="29"/>
        <v>4.25</v>
      </c>
      <c r="AA46" s="41">
        <f t="shared" si="38"/>
        <v>17</v>
      </c>
      <c r="AB46" s="42">
        <v>2</v>
      </c>
      <c r="AC46" s="43" t="str">
        <f t="shared" si="7"/>
        <v>Study</v>
      </c>
      <c r="AD46" s="43"/>
      <c r="AE46" s="43" t="str">
        <f t="shared" si="30"/>
        <v>Study</v>
      </c>
      <c r="AF46" s="41">
        <f t="shared" si="8"/>
        <v>0</v>
      </c>
      <c r="AG46" s="80">
        <f t="shared" si="31"/>
        <v>4.25</v>
      </c>
      <c r="AH46" s="41">
        <f t="shared" si="39"/>
        <v>17</v>
      </c>
      <c r="AI46" s="42">
        <v>2</v>
      </c>
      <c r="AJ46" s="43" t="str">
        <f t="shared" si="9"/>
        <v>Study</v>
      </c>
      <c r="AK46" s="43"/>
      <c r="AL46" s="43" t="str">
        <f t="shared" si="44"/>
        <v>Study</v>
      </c>
      <c r="AM46" s="41">
        <f t="shared" si="11"/>
        <v>0</v>
      </c>
      <c r="AN46" s="80">
        <f t="shared" si="32"/>
        <v>4.25</v>
      </c>
      <c r="AO46" s="41">
        <f t="shared" si="40"/>
        <v>17</v>
      </c>
      <c r="AP46" s="42">
        <v>2</v>
      </c>
      <c r="AQ46" s="43" t="str">
        <f t="shared" si="12"/>
        <v>Study</v>
      </c>
      <c r="AR46" s="43"/>
      <c r="AS46" s="43" t="str">
        <f t="shared" si="33"/>
        <v>Study</v>
      </c>
      <c r="AT46" s="41">
        <f t="shared" si="13"/>
        <v>0</v>
      </c>
      <c r="AU46" s="80">
        <f t="shared" si="34"/>
        <v>4.25</v>
      </c>
      <c r="AV46" s="41">
        <f t="shared" si="41"/>
        <v>17</v>
      </c>
      <c r="AW46" s="42">
        <v>2</v>
      </c>
      <c r="AX46" s="43" t="str">
        <f t="shared" si="14"/>
        <v>Study</v>
      </c>
      <c r="AY46" s="43"/>
      <c r="AZ46" s="43" t="str">
        <f t="shared" si="35"/>
        <v>Study</v>
      </c>
      <c r="BA46" s="45">
        <f t="shared" si="45"/>
        <v>0</v>
      </c>
      <c r="BB46" s="45">
        <f t="shared" si="46"/>
        <v>4.25</v>
      </c>
      <c r="BC46" s="45">
        <f t="shared" si="47"/>
        <v>17</v>
      </c>
      <c r="BD46" s="45">
        <f t="shared" si="48"/>
        <v>2</v>
      </c>
      <c r="BE46" s="45" t="str">
        <f t="shared" si="49"/>
        <v>Study</v>
      </c>
      <c r="BF46" s="45">
        <f t="shared" si="50"/>
        <v>0</v>
      </c>
      <c r="BG46" s="46" t="str">
        <f t="shared" si="51"/>
        <v>Study</v>
      </c>
    </row>
    <row r="47" spans="1:59" s="38" customFormat="1" ht="24">
      <c r="A47" s="56"/>
      <c r="B47" s="57"/>
      <c r="C47" s="47">
        <v>0.46875</v>
      </c>
      <c r="D47" s="48">
        <f t="shared" si="0"/>
        <v>0</v>
      </c>
      <c r="E47" s="83">
        <f t="shared" si="22"/>
        <v>4.5</v>
      </c>
      <c r="F47" s="48">
        <f t="shared" si="23"/>
        <v>18</v>
      </c>
      <c r="G47" s="49">
        <v>2</v>
      </c>
      <c r="H47" s="50" t="str">
        <f t="shared" si="43"/>
        <v>Study</v>
      </c>
      <c r="I47" s="50"/>
      <c r="J47" s="50" t="str">
        <f t="shared" si="24"/>
        <v>Study</v>
      </c>
      <c r="K47" s="48">
        <f t="shared" si="2"/>
        <v>0</v>
      </c>
      <c r="L47" s="81">
        <f t="shared" si="25"/>
        <v>4.5</v>
      </c>
      <c r="M47" s="48">
        <f t="shared" si="36"/>
        <v>18</v>
      </c>
      <c r="N47" s="49">
        <v>2</v>
      </c>
      <c r="O47" s="50" t="str">
        <f t="shared" si="3"/>
        <v>Study</v>
      </c>
      <c r="P47" s="50"/>
      <c r="Q47" s="50" t="str">
        <f t="shared" si="26"/>
        <v>Study</v>
      </c>
      <c r="R47" s="48">
        <f t="shared" si="4"/>
        <v>0</v>
      </c>
      <c r="S47" s="81">
        <f t="shared" si="27"/>
        <v>4.5</v>
      </c>
      <c r="T47" s="48">
        <f t="shared" si="37"/>
        <v>18</v>
      </c>
      <c r="U47" s="49">
        <v>2</v>
      </c>
      <c r="V47" s="50" t="str">
        <f t="shared" si="5"/>
        <v>Study</v>
      </c>
      <c r="W47" s="50"/>
      <c r="X47" s="50" t="str">
        <f t="shared" si="28"/>
        <v>Study</v>
      </c>
      <c r="Y47" s="48">
        <f t="shared" si="6"/>
        <v>0</v>
      </c>
      <c r="Z47" s="81">
        <f t="shared" si="29"/>
        <v>4.5</v>
      </c>
      <c r="AA47" s="48">
        <f t="shared" si="38"/>
        <v>18</v>
      </c>
      <c r="AB47" s="49">
        <v>2</v>
      </c>
      <c r="AC47" s="50" t="str">
        <f t="shared" si="7"/>
        <v>Study</v>
      </c>
      <c r="AD47" s="50"/>
      <c r="AE47" s="50" t="str">
        <f t="shared" si="30"/>
        <v>Study</v>
      </c>
      <c r="AF47" s="48">
        <f t="shared" si="8"/>
        <v>0</v>
      </c>
      <c r="AG47" s="81">
        <f t="shared" si="31"/>
        <v>4.5</v>
      </c>
      <c r="AH47" s="48">
        <f t="shared" si="39"/>
        <v>18</v>
      </c>
      <c r="AI47" s="49">
        <v>2</v>
      </c>
      <c r="AJ47" s="50" t="str">
        <f t="shared" si="9"/>
        <v>Study</v>
      </c>
      <c r="AK47" s="50"/>
      <c r="AL47" s="50" t="str">
        <f t="shared" si="44"/>
        <v>Study</v>
      </c>
      <c r="AM47" s="48">
        <f t="shared" si="11"/>
        <v>0</v>
      </c>
      <c r="AN47" s="81">
        <f t="shared" si="32"/>
        <v>4.5</v>
      </c>
      <c r="AO47" s="48">
        <f t="shared" si="40"/>
        <v>18</v>
      </c>
      <c r="AP47" s="49">
        <v>2</v>
      </c>
      <c r="AQ47" s="50" t="str">
        <f t="shared" si="12"/>
        <v>Study</v>
      </c>
      <c r="AR47" s="50"/>
      <c r="AS47" s="50" t="str">
        <f t="shared" si="33"/>
        <v>Study</v>
      </c>
      <c r="AT47" s="48">
        <f t="shared" si="13"/>
        <v>0</v>
      </c>
      <c r="AU47" s="81">
        <f t="shared" si="34"/>
        <v>4.5</v>
      </c>
      <c r="AV47" s="48">
        <f t="shared" si="41"/>
        <v>18</v>
      </c>
      <c r="AW47" s="49">
        <v>2</v>
      </c>
      <c r="AX47" s="50" t="str">
        <f t="shared" si="14"/>
        <v>Study</v>
      </c>
      <c r="AY47" s="50"/>
      <c r="AZ47" s="50" t="str">
        <f t="shared" si="35"/>
        <v>Study</v>
      </c>
      <c r="BA47" s="45">
        <f t="shared" si="45"/>
        <v>0</v>
      </c>
      <c r="BB47" s="45">
        <f t="shared" si="46"/>
        <v>4.5</v>
      </c>
      <c r="BC47" s="45">
        <f t="shared" si="47"/>
        <v>18</v>
      </c>
      <c r="BD47" s="45">
        <f t="shared" si="48"/>
        <v>2</v>
      </c>
      <c r="BE47" s="45" t="str">
        <f t="shared" si="49"/>
        <v>Study</v>
      </c>
      <c r="BF47" s="45">
        <f t="shared" si="50"/>
        <v>0</v>
      </c>
      <c r="BG47" s="46" t="str">
        <f t="shared" si="51"/>
        <v>Study</v>
      </c>
    </row>
    <row r="48" spans="1:59" s="38" customFormat="1" ht="24">
      <c r="A48" s="56"/>
      <c r="B48" s="57"/>
      <c r="C48" s="51">
        <v>0.47916666666666702</v>
      </c>
      <c r="D48" s="41">
        <f t="shared" si="0"/>
        <v>0</v>
      </c>
      <c r="E48" s="86">
        <f t="shared" si="22"/>
        <v>4.75</v>
      </c>
      <c r="F48" s="41">
        <f t="shared" si="23"/>
        <v>19</v>
      </c>
      <c r="G48" s="42">
        <v>2</v>
      </c>
      <c r="H48" s="43" t="str">
        <f t="shared" si="43"/>
        <v>Study</v>
      </c>
      <c r="I48" s="43"/>
      <c r="J48" s="43" t="str">
        <f t="shared" si="24"/>
        <v>Study</v>
      </c>
      <c r="K48" s="41">
        <f t="shared" si="2"/>
        <v>0</v>
      </c>
      <c r="L48" s="80">
        <f t="shared" si="25"/>
        <v>4.75</v>
      </c>
      <c r="M48" s="41">
        <f t="shared" si="36"/>
        <v>19</v>
      </c>
      <c r="N48" s="42">
        <v>2</v>
      </c>
      <c r="O48" s="43" t="str">
        <f t="shared" si="3"/>
        <v>Study</v>
      </c>
      <c r="P48" s="43"/>
      <c r="Q48" s="43" t="str">
        <f t="shared" si="26"/>
        <v>Study</v>
      </c>
      <c r="R48" s="41">
        <f t="shared" si="4"/>
        <v>0</v>
      </c>
      <c r="S48" s="80">
        <f t="shared" si="27"/>
        <v>4.75</v>
      </c>
      <c r="T48" s="41">
        <f t="shared" si="37"/>
        <v>19</v>
      </c>
      <c r="U48" s="42">
        <v>2</v>
      </c>
      <c r="V48" s="43" t="str">
        <f t="shared" si="5"/>
        <v>Study</v>
      </c>
      <c r="W48" s="43"/>
      <c r="X48" s="43" t="str">
        <f t="shared" si="28"/>
        <v>Study</v>
      </c>
      <c r="Y48" s="41">
        <f t="shared" si="6"/>
        <v>0</v>
      </c>
      <c r="Z48" s="80">
        <f t="shared" si="29"/>
        <v>4.75</v>
      </c>
      <c r="AA48" s="41">
        <f t="shared" si="38"/>
        <v>19</v>
      </c>
      <c r="AB48" s="42">
        <v>2</v>
      </c>
      <c r="AC48" s="43" t="str">
        <f t="shared" si="7"/>
        <v>Study</v>
      </c>
      <c r="AD48" s="43"/>
      <c r="AE48" s="43" t="str">
        <f t="shared" si="30"/>
        <v>Study</v>
      </c>
      <c r="AF48" s="41">
        <f t="shared" si="8"/>
        <v>0</v>
      </c>
      <c r="AG48" s="80">
        <f t="shared" si="31"/>
        <v>4.75</v>
      </c>
      <c r="AH48" s="41">
        <f t="shared" si="39"/>
        <v>19</v>
      </c>
      <c r="AI48" s="42">
        <v>2</v>
      </c>
      <c r="AJ48" s="43" t="str">
        <f t="shared" si="9"/>
        <v>Study</v>
      </c>
      <c r="AK48" s="43"/>
      <c r="AL48" s="43" t="str">
        <f t="shared" si="44"/>
        <v>Study</v>
      </c>
      <c r="AM48" s="41">
        <f t="shared" si="11"/>
        <v>0</v>
      </c>
      <c r="AN48" s="80">
        <f t="shared" si="32"/>
        <v>4.75</v>
      </c>
      <c r="AO48" s="41">
        <f t="shared" si="40"/>
        <v>19</v>
      </c>
      <c r="AP48" s="42">
        <v>2</v>
      </c>
      <c r="AQ48" s="43" t="str">
        <f t="shared" si="12"/>
        <v>Study</v>
      </c>
      <c r="AR48" s="43"/>
      <c r="AS48" s="43" t="str">
        <f t="shared" si="33"/>
        <v>Study</v>
      </c>
      <c r="AT48" s="41">
        <f t="shared" si="13"/>
        <v>0</v>
      </c>
      <c r="AU48" s="80">
        <f t="shared" si="34"/>
        <v>4.75</v>
      </c>
      <c r="AV48" s="41">
        <f t="shared" si="41"/>
        <v>19</v>
      </c>
      <c r="AW48" s="42">
        <v>2</v>
      </c>
      <c r="AX48" s="43" t="str">
        <f t="shared" si="14"/>
        <v>Study</v>
      </c>
      <c r="AY48" s="43"/>
      <c r="AZ48" s="43" t="str">
        <f t="shared" si="35"/>
        <v>Study</v>
      </c>
      <c r="BA48" s="45">
        <f t="shared" si="45"/>
        <v>0</v>
      </c>
      <c r="BB48" s="45">
        <f t="shared" si="46"/>
        <v>4.75</v>
      </c>
      <c r="BC48" s="45">
        <f t="shared" si="47"/>
        <v>19</v>
      </c>
      <c r="BD48" s="45">
        <f t="shared" si="48"/>
        <v>2</v>
      </c>
      <c r="BE48" s="45" t="str">
        <f t="shared" si="49"/>
        <v>Study</v>
      </c>
      <c r="BF48" s="45">
        <f t="shared" si="50"/>
        <v>0</v>
      </c>
      <c r="BG48" s="46" t="str">
        <f t="shared" si="51"/>
        <v>Study</v>
      </c>
    </row>
    <row r="49" spans="1:59" s="38" customFormat="1" ht="24">
      <c r="A49" s="56"/>
      <c r="B49" s="57"/>
      <c r="C49" s="47">
        <v>0.48958333333333298</v>
      </c>
      <c r="D49" s="48">
        <f t="shared" si="0"/>
        <v>0</v>
      </c>
      <c r="E49" s="83">
        <f t="shared" si="22"/>
        <v>5</v>
      </c>
      <c r="F49" s="48">
        <f t="shared" si="23"/>
        <v>20</v>
      </c>
      <c r="G49" s="49">
        <v>2</v>
      </c>
      <c r="H49" s="50" t="str">
        <f t="shared" si="43"/>
        <v>Study</v>
      </c>
      <c r="I49" s="50"/>
      <c r="J49" s="50" t="str">
        <f t="shared" si="24"/>
        <v>Study</v>
      </c>
      <c r="K49" s="48">
        <f t="shared" si="2"/>
        <v>0</v>
      </c>
      <c r="L49" s="81">
        <f t="shared" si="25"/>
        <v>5</v>
      </c>
      <c r="M49" s="48">
        <f t="shared" si="36"/>
        <v>20</v>
      </c>
      <c r="N49" s="49">
        <v>2</v>
      </c>
      <c r="O49" s="50" t="str">
        <f t="shared" si="3"/>
        <v>Study</v>
      </c>
      <c r="P49" s="50"/>
      <c r="Q49" s="50" t="str">
        <f t="shared" si="26"/>
        <v>Study</v>
      </c>
      <c r="R49" s="48">
        <f t="shared" si="4"/>
        <v>0</v>
      </c>
      <c r="S49" s="81">
        <f t="shared" si="27"/>
        <v>5</v>
      </c>
      <c r="T49" s="48">
        <f t="shared" si="37"/>
        <v>20</v>
      </c>
      <c r="U49" s="49">
        <v>2</v>
      </c>
      <c r="V49" s="50" t="str">
        <f t="shared" si="5"/>
        <v>Study</v>
      </c>
      <c r="W49" s="50"/>
      <c r="X49" s="50" t="str">
        <f t="shared" si="28"/>
        <v>Study</v>
      </c>
      <c r="Y49" s="48">
        <f t="shared" si="6"/>
        <v>0</v>
      </c>
      <c r="Z49" s="81">
        <f t="shared" si="29"/>
        <v>5</v>
      </c>
      <c r="AA49" s="48">
        <f t="shared" si="38"/>
        <v>20</v>
      </c>
      <c r="AB49" s="49">
        <v>2</v>
      </c>
      <c r="AC49" s="50" t="str">
        <f t="shared" si="7"/>
        <v>Study</v>
      </c>
      <c r="AD49" s="50"/>
      <c r="AE49" s="50" t="str">
        <f t="shared" si="30"/>
        <v>Study</v>
      </c>
      <c r="AF49" s="48">
        <f t="shared" si="8"/>
        <v>0</v>
      </c>
      <c r="AG49" s="81">
        <f t="shared" si="31"/>
        <v>5</v>
      </c>
      <c r="AH49" s="48">
        <f t="shared" si="39"/>
        <v>20</v>
      </c>
      <c r="AI49" s="49">
        <v>2</v>
      </c>
      <c r="AJ49" s="50" t="str">
        <f t="shared" si="9"/>
        <v>Study</v>
      </c>
      <c r="AK49" s="50"/>
      <c r="AL49" s="50" t="str">
        <f t="shared" si="44"/>
        <v>Study</v>
      </c>
      <c r="AM49" s="48">
        <f t="shared" si="11"/>
        <v>0</v>
      </c>
      <c r="AN49" s="81">
        <f t="shared" si="32"/>
        <v>5</v>
      </c>
      <c r="AO49" s="48">
        <f t="shared" si="40"/>
        <v>20</v>
      </c>
      <c r="AP49" s="49">
        <v>2</v>
      </c>
      <c r="AQ49" s="50" t="str">
        <f t="shared" si="12"/>
        <v>Study</v>
      </c>
      <c r="AR49" s="50"/>
      <c r="AS49" s="50" t="str">
        <f t="shared" si="33"/>
        <v>Study</v>
      </c>
      <c r="AT49" s="48">
        <f t="shared" si="13"/>
        <v>0</v>
      </c>
      <c r="AU49" s="81">
        <f t="shared" si="34"/>
        <v>5</v>
      </c>
      <c r="AV49" s="48">
        <f t="shared" si="41"/>
        <v>20</v>
      </c>
      <c r="AW49" s="49">
        <v>2</v>
      </c>
      <c r="AX49" s="50" t="str">
        <f t="shared" si="14"/>
        <v>Study</v>
      </c>
      <c r="AY49" s="50"/>
      <c r="AZ49" s="50" t="str">
        <f t="shared" si="35"/>
        <v>Study</v>
      </c>
      <c r="BA49" s="45">
        <f t="shared" si="45"/>
        <v>0</v>
      </c>
      <c r="BB49" s="45">
        <f t="shared" si="46"/>
        <v>5</v>
      </c>
      <c r="BC49" s="45">
        <f t="shared" si="47"/>
        <v>20</v>
      </c>
      <c r="BD49" s="45">
        <f t="shared" si="48"/>
        <v>2</v>
      </c>
      <c r="BE49" s="45" t="str">
        <f t="shared" si="49"/>
        <v>Study</v>
      </c>
      <c r="BF49" s="45">
        <f t="shared" si="50"/>
        <v>0</v>
      </c>
      <c r="BG49" s="46" t="str">
        <f t="shared" si="51"/>
        <v>Study</v>
      </c>
    </row>
    <row r="50" spans="1:59" s="38" customFormat="1" ht="24">
      <c r="A50" s="56"/>
      <c r="B50" s="57"/>
      <c r="C50" s="51">
        <v>0.5</v>
      </c>
      <c r="D50" s="41">
        <f t="shared" si="0"/>
        <v>0</v>
      </c>
      <c r="E50" s="86">
        <f t="shared" si="22"/>
        <v>5.25</v>
      </c>
      <c r="F50" s="41">
        <f t="shared" si="23"/>
        <v>21</v>
      </c>
      <c r="G50" s="49">
        <v>2</v>
      </c>
      <c r="H50" s="43" t="str">
        <f t="shared" si="43"/>
        <v>Study</v>
      </c>
      <c r="I50" s="43"/>
      <c r="J50" s="43" t="str">
        <f t="shared" si="24"/>
        <v>Study</v>
      </c>
      <c r="K50" s="41">
        <f t="shared" si="2"/>
        <v>0</v>
      </c>
      <c r="L50" s="80">
        <f t="shared" si="25"/>
        <v>5.25</v>
      </c>
      <c r="M50" s="41">
        <f t="shared" si="36"/>
        <v>21</v>
      </c>
      <c r="N50" s="42">
        <v>2</v>
      </c>
      <c r="O50" s="43" t="str">
        <f t="shared" si="3"/>
        <v>Study</v>
      </c>
      <c r="P50" s="43"/>
      <c r="Q50" s="43" t="str">
        <f t="shared" si="26"/>
        <v>Study</v>
      </c>
      <c r="R50" s="41">
        <f t="shared" si="4"/>
        <v>0</v>
      </c>
      <c r="S50" s="80">
        <f t="shared" si="27"/>
        <v>5.25</v>
      </c>
      <c r="T50" s="41">
        <f t="shared" si="37"/>
        <v>21</v>
      </c>
      <c r="U50" s="42">
        <v>2</v>
      </c>
      <c r="V50" s="43" t="str">
        <f t="shared" si="5"/>
        <v>Study</v>
      </c>
      <c r="W50" s="43"/>
      <c r="X50" s="43" t="str">
        <f t="shared" si="28"/>
        <v>Study</v>
      </c>
      <c r="Y50" s="41">
        <f t="shared" si="6"/>
        <v>0</v>
      </c>
      <c r="Z50" s="80">
        <f t="shared" si="29"/>
        <v>5.25</v>
      </c>
      <c r="AA50" s="41">
        <f t="shared" si="38"/>
        <v>21</v>
      </c>
      <c r="AB50" s="42">
        <v>2</v>
      </c>
      <c r="AC50" s="43" t="str">
        <f t="shared" si="7"/>
        <v>Study</v>
      </c>
      <c r="AD50" s="43"/>
      <c r="AE50" s="43" t="str">
        <f t="shared" si="30"/>
        <v>Study</v>
      </c>
      <c r="AF50" s="41">
        <f t="shared" si="8"/>
        <v>0</v>
      </c>
      <c r="AG50" s="80">
        <f t="shared" si="31"/>
        <v>5.25</v>
      </c>
      <c r="AH50" s="41">
        <f t="shared" si="39"/>
        <v>21</v>
      </c>
      <c r="AI50" s="42">
        <v>2</v>
      </c>
      <c r="AJ50" s="43" t="str">
        <f t="shared" si="9"/>
        <v>Study</v>
      </c>
      <c r="AK50" s="43"/>
      <c r="AL50" s="43" t="str">
        <f t="shared" si="44"/>
        <v>Study</v>
      </c>
      <c r="AM50" s="41">
        <f t="shared" si="11"/>
        <v>0</v>
      </c>
      <c r="AN50" s="80">
        <f t="shared" si="32"/>
        <v>5.25</v>
      </c>
      <c r="AO50" s="41">
        <f t="shared" si="40"/>
        <v>21</v>
      </c>
      <c r="AP50" s="42">
        <v>2</v>
      </c>
      <c r="AQ50" s="43" t="str">
        <f t="shared" si="12"/>
        <v>Study</v>
      </c>
      <c r="AR50" s="43"/>
      <c r="AS50" s="43" t="str">
        <f t="shared" si="33"/>
        <v>Study</v>
      </c>
      <c r="AT50" s="41">
        <f t="shared" si="13"/>
        <v>0</v>
      </c>
      <c r="AU50" s="80">
        <f t="shared" si="34"/>
        <v>5.25</v>
      </c>
      <c r="AV50" s="41">
        <f t="shared" si="41"/>
        <v>21</v>
      </c>
      <c r="AW50" s="42">
        <v>2</v>
      </c>
      <c r="AX50" s="43" t="str">
        <f t="shared" si="14"/>
        <v>Study</v>
      </c>
      <c r="AY50" s="43"/>
      <c r="AZ50" s="43" t="str">
        <f t="shared" si="35"/>
        <v>Study</v>
      </c>
      <c r="BA50" s="45">
        <f t="shared" si="45"/>
        <v>0</v>
      </c>
      <c r="BB50" s="45">
        <f t="shared" si="46"/>
        <v>5.25</v>
      </c>
      <c r="BC50" s="45">
        <f t="shared" si="47"/>
        <v>21</v>
      </c>
      <c r="BD50" s="45">
        <f t="shared" si="48"/>
        <v>2</v>
      </c>
      <c r="BE50" s="45" t="str">
        <f t="shared" si="49"/>
        <v>Study</v>
      </c>
      <c r="BF50" s="45">
        <f t="shared" si="50"/>
        <v>0</v>
      </c>
      <c r="BG50" s="46" t="str">
        <f t="shared" si="51"/>
        <v>Study</v>
      </c>
    </row>
    <row r="51" spans="1:59" s="38" customFormat="1" ht="24">
      <c r="A51" s="56"/>
      <c r="B51" s="57"/>
      <c r="C51" s="47">
        <v>0.51041666666666696</v>
      </c>
      <c r="D51" s="48">
        <f t="shared" si="0"/>
        <v>0</v>
      </c>
      <c r="E51" s="83">
        <f t="shared" si="22"/>
        <v>5.5</v>
      </c>
      <c r="F51" s="48">
        <f t="shared" si="23"/>
        <v>22</v>
      </c>
      <c r="G51" s="42">
        <v>2</v>
      </c>
      <c r="H51" s="50" t="str">
        <f t="shared" si="43"/>
        <v>Study</v>
      </c>
      <c r="I51" s="50"/>
      <c r="J51" s="50" t="str">
        <f t="shared" si="24"/>
        <v>Study</v>
      </c>
      <c r="K51" s="48">
        <f t="shared" si="2"/>
        <v>0</v>
      </c>
      <c r="L51" s="81">
        <f t="shared" si="25"/>
        <v>5.5</v>
      </c>
      <c r="M51" s="48">
        <f t="shared" si="36"/>
        <v>22</v>
      </c>
      <c r="N51" s="42">
        <v>2</v>
      </c>
      <c r="O51" s="50" t="str">
        <f t="shared" si="3"/>
        <v>Study</v>
      </c>
      <c r="P51" s="50"/>
      <c r="Q51" s="50" t="str">
        <f t="shared" si="26"/>
        <v>Study</v>
      </c>
      <c r="R51" s="48">
        <f t="shared" si="4"/>
        <v>0</v>
      </c>
      <c r="S51" s="81">
        <f t="shared" si="27"/>
        <v>5.5</v>
      </c>
      <c r="T51" s="48">
        <f t="shared" si="37"/>
        <v>22</v>
      </c>
      <c r="U51" s="42">
        <v>2</v>
      </c>
      <c r="V51" s="50" t="str">
        <f t="shared" si="5"/>
        <v>Study</v>
      </c>
      <c r="W51" s="50"/>
      <c r="X51" s="50" t="str">
        <f t="shared" si="28"/>
        <v>Study</v>
      </c>
      <c r="Y51" s="48">
        <f t="shared" si="6"/>
        <v>0</v>
      </c>
      <c r="Z51" s="81">
        <f t="shared" si="29"/>
        <v>5.5</v>
      </c>
      <c r="AA51" s="48">
        <f t="shared" si="38"/>
        <v>22</v>
      </c>
      <c r="AB51" s="42">
        <v>2</v>
      </c>
      <c r="AC51" s="50" t="str">
        <f t="shared" si="7"/>
        <v>Study</v>
      </c>
      <c r="AD51" s="50"/>
      <c r="AE51" s="50" t="str">
        <f t="shared" si="30"/>
        <v>Study</v>
      </c>
      <c r="AF51" s="48">
        <f t="shared" si="8"/>
        <v>0</v>
      </c>
      <c r="AG51" s="81">
        <f t="shared" si="31"/>
        <v>5.5</v>
      </c>
      <c r="AH51" s="48">
        <f t="shared" si="39"/>
        <v>22</v>
      </c>
      <c r="AI51" s="42">
        <v>2</v>
      </c>
      <c r="AJ51" s="50" t="str">
        <f t="shared" si="9"/>
        <v>Study</v>
      </c>
      <c r="AK51" s="50"/>
      <c r="AL51" s="50" t="str">
        <f t="shared" si="44"/>
        <v>Study</v>
      </c>
      <c r="AM51" s="48">
        <f t="shared" si="11"/>
        <v>0</v>
      </c>
      <c r="AN51" s="81">
        <f t="shared" si="32"/>
        <v>5.5</v>
      </c>
      <c r="AO51" s="48">
        <f t="shared" si="40"/>
        <v>22</v>
      </c>
      <c r="AP51" s="42">
        <v>2</v>
      </c>
      <c r="AQ51" s="50" t="str">
        <f t="shared" si="12"/>
        <v>Study</v>
      </c>
      <c r="AR51" s="50"/>
      <c r="AS51" s="50" t="str">
        <f t="shared" si="33"/>
        <v>Study</v>
      </c>
      <c r="AT51" s="48">
        <f t="shared" si="13"/>
        <v>0</v>
      </c>
      <c r="AU51" s="81">
        <f t="shared" si="34"/>
        <v>5.5</v>
      </c>
      <c r="AV51" s="48">
        <f t="shared" si="41"/>
        <v>22</v>
      </c>
      <c r="AW51" s="42">
        <v>2</v>
      </c>
      <c r="AX51" s="50" t="str">
        <f t="shared" si="14"/>
        <v>Study</v>
      </c>
      <c r="AY51" s="50"/>
      <c r="AZ51" s="50" t="str">
        <f t="shared" si="35"/>
        <v>Study</v>
      </c>
      <c r="BA51" s="45">
        <f t="shared" si="45"/>
        <v>0</v>
      </c>
      <c r="BB51" s="45">
        <f t="shared" si="46"/>
        <v>5.5</v>
      </c>
      <c r="BC51" s="45">
        <f t="shared" si="47"/>
        <v>22</v>
      </c>
      <c r="BD51" s="45">
        <f t="shared" si="48"/>
        <v>2</v>
      </c>
      <c r="BE51" s="45" t="str">
        <f t="shared" si="49"/>
        <v>Study</v>
      </c>
      <c r="BF51" s="45">
        <f t="shared" si="50"/>
        <v>0</v>
      </c>
      <c r="BG51" s="46" t="str">
        <f t="shared" si="51"/>
        <v>Study</v>
      </c>
    </row>
    <row r="52" spans="1:59" s="38" customFormat="1" ht="24">
      <c r="A52" s="56"/>
      <c r="B52" s="57"/>
      <c r="C52" s="51">
        <v>0.52083333333333304</v>
      </c>
      <c r="D52" s="41">
        <f t="shared" si="0"/>
        <v>0</v>
      </c>
      <c r="E52" s="86">
        <f t="shared" si="22"/>
        <v>5.75</v>
      </c>
      <c r="F52" s="41">
        <f t="shared" si="23"/>
        <v>23</v>
      </c>
      <c r="G52" s="49">
        <v>2</v>
      </c>
      <c r="H52" s="43" t="str">
        <f t="shared" si="43"/>
        <v>Study</v>
      </c>
      <c r="I52" s="43"/>
      <c r="J52" s="43" t="str">
        <f t="shared" si="24"/>
        <v>Study</v>
      </c>
      <c r="K52" s="41">
        <f t="shared" si="2"/>
        <v>0</v>
      </c>
      <c r="L52" s="80">
        <f t="shared" si="25"/>
        <v>5.75</v>
      </c>
      <c r="M52" s="41">
        <f t="shared" si="36"/>
        <v>23</v>
      </c>
      <c r="N52" s="49">
        <v>2</v>
      </c>
      <c r="O52" s="43" t="str">
        <f t="shared" si="3"/>
        <v>Study</v>
      </c>
      <c r="P52" s="43"/>
      <c r="Q52" s="43" t="str">
        <f t="shared" si="26"/>
        <v>Study</v>
      </c>
      <c r="R52" s="41">
        <f t="shared" si="4"/>
        <v>0</v>
      </c>
      <c r="S52" s="80">
        <f t="shared" si="27"/>
        <v>5.75</v>
      </c>
      <c r="T52" s="41">
        <f t="shared" si="37"/>
        <v>23</v>
      </c>
      <c r="U52" s="49">
        <v>2</v>
      </c>
      <c r="V52" s="43" t="str">
        <f t="shared" si="5"/>
        <v>Study</v>
      </c>
      <c r="W52" s="43"/>
      <c r="X52" s="43" t="str">
        <f t="shared" si="28"/>
        <v>Study</v>
      </c>
      <c r="Y52" s="41">
        <f t="shared" si="6"/>
        <v>0</v>
      </c>
      <c r="Z52" s="80">
        <f t="shared" si="29"/>
        <v>5.75</v>
      </c>
      <c r="AA52" s="41">
        <f t="shared" si="38"/>
        <v>23</v>
      </c>
      <c r="AB52" s="49">
        <v>2</v>
      </c>
      <c r="AC52" s="43" t="str">
        <f t="shared" si="7"/>
        <v>Study</v>
      </c>
      <c r="AD52" s="43"/>
      <c r="AE52" s="43" t="str">
        <f t="shared" si="30"/>
        <v>Study</v>
      </c>
      <c r="AF52" s="41">
        <f t="shared" si="8"/>
        <v>0</v>
      </c>
      <c r="AG52" s="80">
        <f t="shared" si="31"/>
        <v>5.75</v>
      </c>
      <c r="AH52" s="41">
        <f t="shared" si="39"/>
        <v>23</v>
      </c>
      <c r="AI52" s="49">
        <v>2</v>
      </c>
      <c r="AJ52" s="43" t="str">
        <f t="shared" si="9"/>
        <v>Study</v>
      </c>
      <c r="AK52" s="43"/>
      <c r="AL52" s="43" t="str">
        <f t="shared" si="44"/>
        <v>Study</v>
      </c>
      <c r="AM52" s="41">
        <f t="shared" si="11"/>
        <v>0</v>
      </c>
      <c r="AN52" s="80">
        <f t="shared" si="32"/>
        <v>5.75</v>
      </c>
      <c r="AO52" s="41">
        <f t="shared" si="40"/>
        <v>23</v>
      </c>
      <c r="AP52" s="49">
        <v>2</v>
      </c>
      <c r="AQ52" s="43" t="str">
        <f t="shared" si="12"/>
        <v>Study</v>
      </c>
      <c r="AR52" s="43"/>
      <c r="AS52" s="43" t="str">
        <f t="shared" si="33"/>
        <v>Study</v>
      </c>
      <c r="AT52" s="41">
        <f t="shared" si="13"/>
        <v>0</v>
      </c>
      <c r="AU52" s="80">
        <f t="shared" si="34"/>
        <v>5.75</v>
      </c>
      <c r="AV52" s="41">
        <f t="shared" si="41"/>
        <v>23</v>
      </c>
      <c r="AW52" s="49">
        <v>2</v>
      </c>
      <c r="AX52" s="43" t="str">
        <f t="shared" si="14"/>
        <v>Study</v>
      </c>
      <c r="AY52" s="43"/>
      <c r="AZ52" s="43" t="str">
        <f t="shared" si="35"/>
        <v>Study</v>
      </c>
      <c r="BA52" s="45">
        <f t="shared" si="45"/>
        <v>0</v>
      </c>
      <c r="BB52" s="45">
        <f t="shared" si="46"/>
        <v>5.75</v>
      </c>
      <c r="BC52" s="45">
        <f t="shared" si="47"/>
        <v>23</v>
      </c>
      <c r="BD52" s="45">
        <f t="shared" si="48"/>
        <v>2</v>
      </c>
      <c r="BE52" s="45" t="str">
        <f t="shared" si="49"/>
        <v>Study</v>
      </c>
      <c r="BF52" s="45">
        <f t="shared" si="50"/>
        <v>0</v>
      </c>
      <c r="BG52" s="46" t="str">
        <f t="shared" si="51"/>
        <v>Study</v>
      </c>
    </row>
    <row r="53" spans="1:59" s="38" customFormat="1" ht="24">
      <c r="A53" s="56"/>
      <c r="B53" s="57"/>
      <c r="C53" s="47">
        <v>0.53125</v>
      </c>
      <c r="D53" s="48">
        <f t="shared" si="0"/>
        <v>0</v>
      </c>
      <c r="E53" s="83">
        <f t="shared" si="22"/>
        <v>6</v>
      </c>
      <c r="F53" s="48">
        <f t="shared" si="23"/>
        <v>24</v>
      </c>
      <c r="G53" s="42">
        <v>2</v>
      </c>
      <c r="H53" s="50" t="str">
        <f t="shared" si="43"/>
        <v>Study</v>
      </c>
      <c r="I53" s="50"/>
      <c r="J53" s="50" t="str">
        <f t="shared" si="24"/>
        <v>Study</v>
      </c>
      <c r="K53" s="48">
        <f t="shared" si="2"/>
        <v>0</v>
      </c>
      <c r="L53" s="81">
        <f t="shared" si="25"/>
        <v>6</v>
      </c>
      <c r="M53" s="48">
        <f t="shared" si="36"/>
        <v>24</v>
      </c>
      <c r="N53" s="42">
        <v>2</v>
      </c>
      <c r="O53" s="50" t="str">
        <f t="shared" si="3"/>
        <v>Study</v>
      </c>
      <c r="P53" s="50"/>
      <c r="Q53" s="50" t="str">
        <f t="shared" si="26"/>
        <v>Study</v>
      </c>
      <c r="R53" s="48">
        <f t="shared" si="4"/>
        <v>0</v>
      </c>
      <c r="S53" s="81">
        <f t="shared" si="27"/>
        <v>6</v>
      </c>
      <c r="T53" s="48">
        <f t="shared" si="37"/>
        <v>24</v>
      </c>
      <c r="U53" s="42">
        <v>2</v>
      </c>
      <c r="V53" s="50" t="str">
        <f t="shared" si="5"/>
        <v>Study</v>
      </c>
      <c r="W53" s="50"/>
      <c r="X53" s="50" t="str">
        <f t="shared" si="28"/>
        <v>Study</v>
      </c>
      <c r="Y53" s="48">
        <f t="shared" si="6"/>
        <v>0</v>
      </c>
      <c r="Z53" s="81">
        <f t="shared" si="29"/>
        <v>6</v>
      </c>
      <c r="AA53" s="48">
        <f t="shared" si="38"/>
        <v>24</v>
      </c>
      <c r="AB53" s="42">
        <v>2</v>
      </c>
      <c r="AC53" s="50" t="str">
        <f t="shared" si="7"/>
        <v>Study</v>
      </c>
      <c r="AD53" s="50"/>
      <c r="AE53" s="50" t="str">
        <f t="shared" si="30"/>
        <v>Study</v>
      </c>
      <c r="AF53" s="48">
        <f t="shared" si="8"/>
        <v>0</v>
      </c>
      <c r="AG53" s="81">
        <f t="shared" si="31"/>
        <v>6</v>
      </c>
      <c r="AH53" s="48">
        <f t="shared" si="39"/>
        <v>24</v>
      </c>
      <c r="AI53" s="42">
        <v>2</v>
      </c>
      <c r="AJ53" s="50" t="str">
        <f t="shared" si="9"/>
        <v>Study</v>
      </c>
      <c r="AK53" s="50"/>
      <c r="AL53" s="50" t="str">
        <f t="shared" si="44"/>
        <v>Study</v>
      </c>
      <c r="AM53" s="48">
        <f t="shared" si="11"/>
        <v>0</v>
      </c>
      <c r="AN53" s="81">
        <f t="shared" si="32"/>
        <v>6</v>
      </c>
      <c r="AO53" s="48">
        <f t="shared" si="40"/>
        <v>24</v>
      </c>
      <c r="AP53" s="42">
        <v>2</v>
      </c>
      <c r="AQ53" s="50" t="str">
        <f t="shared" si="12"/>
        <v>Study</v>
      </c>
      <c r="AR53" s="50"/>
      <c r="AS53" s="50" t="str">
        <f t="shared" si="33"/>
        <v>Study</v>
      </c>
      <c r="AT53" s="48">
        <f t="shared" si="13"/>
        <v>0</v>
      </c>
      <c r="AU53" s="81">
        <f t="shared" si="34"/>
        <v>6</v>
      </c>
      <c r="AV53" s="48">
        <f t="shared" si="41"/>
        <v>24</v>
      </c>
      <c r="AW53" s="42">
        <v>2</v>
      </c>
      <c r="AX53" s="50" t="str">
        <f t="shared" si="14"/>
        <v>Study</v>
      </c>
      <c r="AY53" s="50"/>
      <c r="AZ53" s="50" t="str">
        <f t="shared" si="35"/>
        <v>Study</v>
      </c>
      <c r="BA53" s="45">
        <f t="shared" si="45"/>
        <v>0</v>
      </c>
      <c r="BB53" s="45">
        <f t="shared" si="46"/>
        <v>6</v>
      </c>
      <c r="BC53" s="45">
        <f t="shared" si="47"/>
        <v>24</v>
      </c>
      <c r="BD53" s="45">
        <f t="shared" si="48"/>
        <v>2</v>
      </c>
      <c r="BE53" s="45" t="str">
        <f t="shared" si="49"/>
        <v>Study</v>
      </c>
      <c r="BF53" s="45">
        <f t="shared" si="50"/>
        <v>0</v>
      </c>
      <c r="BG53" s="46" t="str">
        <f t="shared" si="51"/>
        <v>Study</v>
      </c>
    </row>
    <row r="54" spans="1:59" s="38" customFormat="1" ht="24">
      <c r="A54" s="56"/>
      <c r="B54" s="57"/>
      <c r="C54" s="51">
        <v>0.54166666666666696</v>
      </c>
      <c r="D54" s="41">
        <f t="shared" si="0"/>
        <v>0</v>
      </c>
      <c r="E54" s="86">
        <f t="shared" si="22"/>
        <v>6.25</v>
      </c>
      <c r="F54" s="41">
        <f t="shared" si="23"/>
        <v>25</v>
      </c>
      <c r="G54" s="49">
        <v>2</v>
      </c>
      <c r="H54" s="43" t="str">
        <f t="shared" si="43"/>
        <v>Study</v>
      </c>
      <c r="I54" s="43"/>
      <c r="J54" s="43" t="str">
        <f t="shared" si="24"/>
        <v>Study</v>
      </c>
      <c r="K54" s="41">
        <f t="shared" si="2"/>
        <v>0</v>
      </c>
      <c r="L54" s="80">
        <f t="shared" si="25"/>
        <v>6.25</v>
      </c>
      <c r="M54" s="41">
        <f t="shared" si="36"/>
        <v>25</v>
      </c>
      <c r="N54" s="49">
        <v>2</v>
      </c>
      <c r="O54" s="43" t="str">
        <f t="shared" si="3"/>
        <v>Study</v>
      </c>
      <c r="P54" s="43"/>
      <c r="Q54" s="43" t="str">
        <f t="shared" si="26"/>
        <v>Study</v>
      </c>
      <c r="R54" s="41">
        <f t="shared" si="4"/>
        <v>0</v>
      </c>
      <c r="S54" s="80">
        <f t="shared" si="27"/>
        <v>6.25</v>
      </c>
      <c r="T54" s="41">
        <f t="shared" si="37"/>
        <v>25</v>
      </c>
      <c r="U54" s="49">
        <v>2</v>
      </c>
      <c r="V54" s="43" t="str">
        <f t="shared" si="5"/>
        <v>Study</v>
      </c>
      <c r="W54" s="43"/>
      <c r="X54" s="43" t="str">
        <f t="shared" si="28"/>
        <v>Study</v>
      </c>
      <c r="Y54" s="41">
        <f t="shared" si="6"/>
        <v>0</v>
      </c>
      <c r="Z54" s="80">
        <f t="shared" si="29"/>
        <v>6.25</v>
      </c>
      <c r="AA54" s="41">
        <f t="shared" si="38"/>
        <v>25</v>
      </c>
      <c r="AB54" s="49">
        <v>2</v>
      </c>
      <c r="AC54" s="43" t="str">
        <f t="shared" si="7"/>
        <v>Study</v>
      </c>
      <c r="AD54" s="43"/>
      <c r="AE54" s="43" t="str">
        <f t="shared" si="30"/>
        <v>Study</v>
      </c>
      <c r="AF54" s="41">
        <f t="shared" si="8"/>
        <v>0</v>
      </c>
      <c r="AG54" s="80">
        <f t="shared" si="31"/>
        <v>6.25</v>
      </c>
      <c r="AH54" s="41">
        <f t="shared" si="39"/>
        <v>25</v>
      </c>
      <c r="AI54" s="49">
        <v>2</v>
      </c>
      <c r="AJ54" s="43" t="str">
        <f t="shared" si="9"/>
        <v>Study</v>
      </c>
      <c r="AK54" s="43"/>
      <c r="AL54" s="43" t="str">
        <f t="shared" si="44"/>
        <v>Study</v>
      </c>
      <c r="AM54" s="41">
        <f t="shared" si="11"/>
        <v>0</v>
      </c>
      <c r="AN54" s="80">
        <f t="shared" si="32"/>
        <v>6.25</v>
      </c>
      <c r="AO54" s="41">
        <f t="shared" si="40"/>
        <v>25</v>
      </c>
      <c r="AP54" s="49">
        <v>2</v>
      </c>
      <c r="AQ54" s="43" t="str">
        <f t="shared" si="12"/>
        <v>Study</v>
      </c>
      <c r="AR54" s="43"/>
      <c r="AS54" s="43" t="str">
        <f t="shared" si="33"/>
        <v>Study</v>
      </c>
      <c r="AT54" s="41">
        <f t="shared" si="13"/>
        <v>0</v>
      </c>
      <c r="AU54" s="80">
        <f t="shared" si="34"/>
        <v>6.25</v>
      </c>
      <c r="AV54" s="41">
        <f t="shared" si="41"/>
        <v>25</v>
      </c>
      <c r="AW54" s="49">
        <v>2</v>
      </c>
      <c r="AX54" s="43" t="str">
        <f t="shared" si="14"/>
        <v>Study</v>
      </c>
      <c r="AY54" s="43"/>
      <c r="AZ54" s="43" t="str">
        <f t="shared" si="35"/>
        <v>Study</v>
      </c>
      <c r="BA54" s="45">
        <f t="shared" si="45"/>
        <v>0</v>
      </c>
      <c r="BB54" s="45">
        <f t="shared" si="46"/>
        <v>6.25</v>
      </c>
      <c r="BC54" s="45">
        <f t="shared" si="47"/>
        <v>25</v>
      </c>
      <c r="BD54" s="45">
        <f t="shared" si="48"/>
        <v>2</v>
      </c>
      <c r="BE54" s="45" t="str">
        <f t="shared" si="49"/>
        <v>Study</v>
      </c>
      <c r="BF54" s="45">
        <f t="shared" si="50"/>
        <v>0</v>
      </c>
      <c r="BG54" s="46" t="str">
        <f t="shared" si="51"/>
        <v>Study</v>
      </c>
    </row>
    <row r="55" spans="1:59" s="38" customFormat="1" ht="24">
      <c r="A55" s="56"/>
      <c r="B55" s="57"/>
      <c r="C55" s="47">
        <v>0.55208333333333304</v>
      </c>
      <c r="D55" s="48">
        <f t="shared" si="0"/>
        <v>0</v>
      </c>
      <c r="E55" s="83">
        <f t="shared" si="22"/>
        <v>6.5</v>
      </c>
      <c r="F55" s="48">
        <f t="shared" si="23"/>
        <v>26</v>
      </c>
      <c r="G55" s="42">
        <v>2</v>
      </c>
      <c r="H55" s="50" t="str">
        <f t="shared" si="43"/>
        <v>Study</v>
      </c>
      <c r="I55" s="50"/>
      <c r="J55" s="50" t="str">
        <f t="shared" si="24"/>
        <v>Study</v>
      </c>
      <c r="K55" s="48">
        <f t="shared" si="2"/>
        <v>0</v>
      </c>
      <c r="L55" s="81">
        <f t="shared" si="25"/>
        <v>6.5</v>
      </c>
      <c r="M55" s="48">
        <f t="shared" si="36"/>
        <v>26</v>
      </c>
      <c r="N55" s="42">
        <v>2</v>
      </c>
      <c r="O55" s="50" t="str">
        <f t="shared" si="3"/>
        <v>Study</v>
      </c>
      <c r="P55" s="50"/>
      <c r="Q55" s="50" t="str">
        <f t="shared" si="26"/>
        <v>Study</v>
      </c>
      <c r="R55" s="48">
        <f t="shared" si="4"/>
        <v>0</v>
      </c>
      <c r="S55" s="81">
        <f t="shared" si="27"/>
        <v>6.5</v>
      </c>
      <c r="T55" s="48">
        <f t="shared" si="37"/>
        <v>26</v>
      </c>
      <c r="U55" s="42">
        <v>2</v>
      </c>
      <c r="V55" s="50" t="str">
        <f t="shared" si="5"/>
        <v>Study</v>
      </c>
      <c r="W55" s="50"/>
      <c r="X55" s="50" t="str">
        <f t="shared" si="28"/>
        <v>Study</v>
      </c>
      <c r="Y55" s="48">
        <f t="shared" si="6"/>
        <v>0</v>
      </c>
      <c r="Z55" s="81">
        <f t="shared" si="29"/>
        <v>6.5</v>
      </c>
      <c r="AA55" s="48">
        <f t="shared" si="38"/>
        <v>26</v>
      </c>
      <c r="AB55" s="42">
        <v>2</v>
      </c>
      <c r="AC55" s="50" t="str">
        <f t="shared" si="7"/>
        <v>Study</v>
      </c>
      <c r="AD55" s="50"/>
      <c r="AE55" s="50" t="str">
        <f t="shared" si="30"/>
        <v>Study</v>
      </c>
      <c r="AF55" s="48">
        <f t="shared" si="8"/>
        <v>0</v>
      </c>
      <c r="AG55" s="81">
        <f t="shared" si="31"/>
        <v>6.5</v>
      </c>
      <c r="AH55" s="48">
        <f t="shared" si="39"/>
        <v>26</v>
      </c>
      <c r="AI55" s="42">
        <v>2</v>
      </c>
      <c r="AJ55" s="50" t="str">
        <f t="shared" si="9"/>
        <v>Study</v>
      </c>
      <c r="AK55" s="50"/>
      <c r="AL55" s="50" t="str">
        <f t="shared" si="44"/>
        <v>Study</v>
      </c>
      <c r="AM55" s="48">
        <f t="shared" si="11"/>
        <v>0</v>
      </c>
      <c r="AN55" s="81">
        <f t="shared" si="32"/>
        <v>6.5</v>
      </c>
      <c r="AO55" s="48">
        <f t="shared" si="40"/>
        <v>26</v>
      </c>
      <c r="AP55" s="42">
        <v>2</v>
      </c>
      <c r="AQ55" s="50" t="str">
        <f t="shared" si="12"/>
        <v>Study</v>
      </c>
      <c r="AR55" s="50"/>
      <c r="AS55" s="50" t="str">
        <f t="shared" si="33"/>
        <v>Study</v>
      </c>
      <c r="AT55" s="48">
        <f t="shared" si="13"/>
        <v>0</v>
      </c>
      <c r="AU55" s="81">
        <f t="shared" si="34"/>
        <v>6.5</v>
      </c>
      <c r="AV55" s="48">
        <f t="shared" si="41"/>
        <v>26</v>
      </c>
      <c r="AW55" s="42">
        <v>2</v>
      </c>
      <c r="AX55" s="50" t="str">
        <f t="shared" si="14"/>
        <v>Study</v>
      </c>
      <c r="AY55" s="50"/>
      <c r="AZ55" s="50" t="str">
        <f t="shared" si="35"/>
        <v>Study</v>
      </c>
      <c r="BA55" s="45">
        <f t="shared" si="45"/>
        <v>0</v>
      </c>
      <c r="BB55" s="45">
        <f t="shared" si="46"/>
        <v>6.5</v>
      </c>
      <c r="BC55" s="45">
        <f t="shared" si="47"/>
        <v>26</v>
      </c>
      <c r="BD55" s="45">
        <f t="shared" si="48"/>
        <v>2</v>
      </c>
      <c r="BE55" s="45" t="str">
        <f t="shared" si="49"/>
        <v>Study</v>
      </c>
      <c r="BF55" s="45">
        <f t="shared" si="50"/>
        <v>0</v>
      </c>
      <c r="BG55" s="46" t="str">
        <f t="shared" si="51"/>
        <v>Study</v>
      </c>
    </row>
    <row r="56" spans="1:59" s="38" customFormat="1" ht="24">
      <c r="A56" s="56"/>
      <c r="B56" s="57"/>
      <c r="C56" s="51">
        <v>0.5625</v>
      </c>
      <c r="D56" s="41">
        <f t="shared" si="0"/>
        <v>0</v>
      </c>
      <c r="E56" s="86">
        <f t="shared" si="22"/>
        <v>6.75</v>
      </c>
      <c r="F56" s="41">
        <f t="shared" si="23"/>
        <v>27</v>
      </c>
      <c r="G56" s="49">
        <v>2</v>
      </c>
      <c r="H56" s="43" t="str">
        <f t="shared" si="43"/>
        <v>Study</v>
      </c>
      <c r="I56" s="43"/>
      <c r="J56" s="43" t="str">
        <f t="shared" si="24"/>
        <v>Study</v>
      </c>
      <c r="K56" s="41">
        <f t="shared" si="2"/>
        <v>0</v>
      </c>
      <c r="L56" s="80">
        <f t="shared" si="25"/>
        <v>6.75</v>
      </c>
      <c r="M56" s="41">
        <f t="shared" si="36"/>
        <v>27</v>
      </c>
      <c r="N56" s="49">
        <v>2</v>
      </c>
      <c r="O56" s="43" t="str">
        <f t="shared" si="3"/>
        <v>Study</v>
      </c>
      <c r="P56" s="43"/>
      <c r="Q56" s="43" t="str">
        <f t="shared" si="26"/>
        <v>Study</v>
      </c>
      <c r="R56" s="41">
        <f t="shared" si="4"/>
        <v>0</v>
      </c>
      <c r="S56" s="80">
        <f t="shared" si="27"/>
        <v>6.75</v>
      </c>
      <c r="T56" s="41">
        <f t="shared" si="37"/>
        <v>27</v>
      </c>
      <c r="U56" s="49">
        <v>2</v>
      </c>
      <c r="V56" s="43" t="str">
        <f t="shared" si="5"/>
        <v>Study</v>
      </c>
      <c r="W56" s="43"/>
      <c r="X56" s="43" t="str">
        <f t="shared" si="28"/>
        <v>Study</v>
      </c>
      <c r="Y56" s="41">
        <f t="shared" si="6"/>
        <v>0</v>
      </c>
      <c r="Z56" s="80">
        <f t="shared" si="29"/>
        <v>6.75</v>
      </c>
      <c r="AA56" s="41">
        <f t="shared" si="38"/>
        <v>27</v>
      </c>
      <c r="AB56" s="49">
        <v>2</v>
      </c>
      <c r="AC56" s="43" t="str">
        <f t="shared" si="7"/>
        <v>Study</v>
      </c>
      <c r="AD56" s="43"/>
      <c r="AE56" s="43" t="str">
        <f t="shared" si="30"/>
        <v>Study</v>
      </c>
      <c r="AF56" s="41">
        <f t="shared" si="8"/>
        <v>0</v>
      </c>
      <c r="AG56" s="80">
        <f t="shared" si="31"/>
        <v>6.75</v>
      </c>
      <c r="AH56" s="41">
        <f t="shared" si="39"/>
        <v>27</v>
      </c>
      <c r="AI56" s="49">
        <v>2</v>
      </c>
      <c r="AJ56" s="43" t="str">
        <f t="shared" si="9"/>
        <v>Study</v>
      </c>
      <c r="AK56" s="43"/>
      <c r="AL56" s="43" t="str">
        <f t="shared" si="44"/>
        <v>Study</v>
      </c>
      <c r="AM56" s="41">
        <f t="shared" si="11"/>
        <v>0</v>
      </c>
      <c r="AN56" s="80">
        <f t="shared" si="32"/>
        <v>6.75</v>
      </c>
      <c r="AO56" s="41">
        <f t="shared" si="40"/>
        <v>27</v>
      </c>
      <c r="AP56" s="49">
        <v>2</v>
      </c>
      <c r="AQ56" s="43" t="str">
        <f t="shared" si="12"/>
        <v>Study</v>
      </c>
      <c r="AR56" s="43"/>
      <c r="AS56" s="43" t="str">
        <f t="shared" si="33"/>
        <v>Study</v>
      </c>
      <c r="AT56" s="41">
        <f t="shared" si="13"/>
        <v>0</v>
      </c>
      <c r="AU56" s="80">
        <f t="shared" si="34"/>
        <v>6.75</v>
      </c>
      <c r="AV56" s="41">
        <f t="shared" si="41"/>
        <v>27</v>
      </c>
      <c r="AW56" s="49">
        <v>2</v>
      </c>
      <c r="AX56" s="43" t="str">
        <f t="shared" si="14"/>
        <v>Study</v>
      </c>
      <c r="AY56" s="43"/>
      <c r="AZ56" s="43" t="str">
        <f t="shared" si="35"/>
        <v>Study</v>
      </c>
      <c r="BA56" s="45">
        <f t="shared" si="45"/>
        <v>0</v>
      </c>
      <c r="BB56" s="45">
        <f t="shared" si="46"/>
        <v>6.75</v>
      </c>
      <c r="BC56" s="45">
        <f t="shared" si="47"/>
        <v>27</v>
      </c>
      <c r="BD56" s="45">
        <f t="shared" si="48"/>
        <v>2</v>
      </c>
      <c r="BE56" s="45" t="str">
        <f t="shared" si="49"/>
        <v>Study</v>
      </c>
      <c r="BF56" s="45">
        <f t="shared" si="50"/>
        <v>0</v>
      </c>
      <c r="BG56" s="46" t="str">
        <f t="shared" si="51"/>
        <v>Study</v>
      </c>
    </row>
    <row r="57" spans="1:59" s="38" customFormat="1" ht="24">
      <c r="A57" s="56"/>
      <c r="B57" s="57"/>
      <c r="C57" s="47">
        <v>0.57291666666666696</v>
      </c>
      <c r="D57" s="48">
        <f t="shared" si="0"/>
        <v>0</v>
      </c>
      <c r="E57" s="83">
        <f t="shared" si="22"/>
        <v>7</v>
      </c>
      <c r="F57" s="48">
        <f t="shared" si="23"/>
        <v>28</v>
      </c>
      <c r="G57" s="49">
        <v>2</v>
      </c>
      <c r="H57" s="50" t="str">
        <f t="shared" si="43"/>
        <v>Study</v>
      </c>
      <c r="I57" s="50"/>
      <c r="J57" s="50" t="str">
        <f t="shared" si="24"/>
        <v>Study</v>
      </c>
      <c r="K57" s="48">
        <f t="shared" si="2"/>
        <v>0</v>
      </c>
      <c r="L57" s="81">
        <f t="shared" si="25"/>
        <v>7</v>
      </c>
      <c r="M57" s="48">
        <f t="shared" si="36"/>
        <v>28</v>
      </c>
      <c r="N57" s="42">
        <v>2</v>
      </c>
      <c r="O57" s="50" t="str">
        <f t="shared" si="3"/>
        <v>Study</v>
      </c>
      <c r="P57" s="50"/>
      <c r="Q57" s="50" t="str">
        <f t="shared" si="26"/>
        <v>Study</v>
      </c>
      <c r="R57" s="48">
        <f t="shared" si="4"/>
        <v>0</v>
      </c>
      <c r="S57" s="81">
        <f t="shared" si="27"/>
        <v>7</v>
      </c>
      <c r="T57" s="48">
        <f t="shared" si="37"/>
        <v>28</v>
      </c>
      <c r="U57" s="42">
        <v>2</v>
      </c>
      <c r="V57" s="50" t="str">
        <f t="shared" si="5"/>
        <v>Study</v>
      </c>
      <c r="W57" s="50"/>
      <c r="X57" s="50" t="str">
        <f t="shared" si="28"/>
        <v>Study</v>
      </c>
      <c r="Y57" s="48">
        <f t="shared" si="6"/>
        <v>0</v>
      </c>
      <c r="Z57" s="81">
        <f t="shared" si="29"/>
        <v>7</v>
      </c>
      <c r="AA57" s="48">
        <f t="shared" si="38"/>
        <v>28</v>
      </c>
      <c r="AB57" s="42">
        <v>2</v>
      </c>
      <c r="AC57" s="50" t="str">
        <f t="shared" si="7"/>
        <v>Study</v>
      </c>
      <c r="AD57" s="50"/>
      <c r="AE57" s="50" t="str">
        <f t="shared" si="30"/>
        <v>Study</v>
      </c>
      <c r="AF57" s="48">
        <f t="shared" si="8"/>
        <v>0</v>
      </c>
      <c r="AG57" s="81">
        <f t="shared" si="31"/>
        <v>7</v>
      </c>
      <c r="AH57" s="48">
        <f t="shared" si="39"/>
        <v>28</v>
      </c>
      <c r="AI57" s="42">
        <v>2</v>
      </c>
      <c r="AJ57" s="50" t="str">
        <f t="shared" si="9"/>
        <v>Study</v>
      </c>
      <c r="AK57" s="50"/>
      <c r="AL57" s="50" t="str">
        <f t="shared" si="44"/>
        <v>Study</v>
      </c>
      <c r="AM57" s="48">
        <f t="shared" si="11"/>
        <v>0</v>
      </c>
      <c r="AN57" s="81">
        <f t="shared" si="32"/>
        <v>7</v>
      </c>
      <c r="AO57" s="48">
        <f t="shared" si="40"/>
        <v>28</v>
      </c>
      <c r="AP57" s="42">
        <v>2</v>
      </c>
      <c r="AQ57" s="50" t="str">
        <f t="shared" si="12"/>
        <v>Study</v>
      </c>
      <c r="AR57" s="50"/>
      <c r="AS57" s="50" t="str">
        <f t="shared" si="33"/>
        <v>Study</v>
      </c>
      <c r="AT57" s="48">
        <f t="shared" si="13"/>
        <v>0</v>
      </c>
      <c r="AU57" s="81">
        <f t="shared" si="34"/>
        <v>7</v>
      </c>
      <c r="AV57" s="48">
        <f t="shared" si="41"/>
        <v>28</v>
      </c>
      <c r="AW57" s="42">
        <v>2</v>
      </c>
      <c r="AX57" s="50" t="str">
        <f t="shared" si="14"/>
        <v>Study</v>
      </c>
      <c r="AY57" s="50"/>
      <c r="AZ57" s="50" t="str">
        <f t="shared" si="35"/>
        <v>Study</v>
      </c>
      <c r="BA57" s="45">
        <f t="shared" si="45"/>
        <v>0</v>
      </c>
      <c r="BB57" s="45">
        <f t="shared" si="46"/>
        <v>7</v>
      </c>
      <c r="BC57" s="45">
        <f t="shared" si="47"/>
        <v>28</v>
      </c>
      <c r="BD57" s="45">
        <f t="shared" si="48"/>
        <v>2</v>
      </c>
      <c r="BE57" s="45" t="str">
        <f t="shared" si="49"/>
        <v>Study</v>
      </c>
      <c r="BF57" s="45">
        <f t="shared" si="50"/>
        <v>0</v>
      </c>
      <c r="BG57" s="46" t="str">
        <f t="shared" si="51"/>
        <v>Study</v>
      </c>
    </row>
    <row r="58" spans="1:59" s="38" customFormat="1" ht="24">
      <c r="A58" s="56"/>
      <c r="B58" s="57"/>
      <c r="C58" s="51">
        <v>0.58333333333333304</v>
      </c>
      <c r="D58" s="41">
        <f t="shared" si="0"/>
        <v>0</v>
      </c>
      <c r="E58" s="86">
        <f t="shared" si="22"/>
        <v>7.25</v>
      </c>
      <c r="F58" s="41">
        <f t="shared" si="23"/>
        <v>29</v>
      </c>
      <c r="G58" s="42">
        <v>2</v>
      </c>
      <c r="H58" s="43" t="str">
        <f t="shared" si="43"/>
        <v>Study</v>
      </c>
      <c r="I58" s="43"/>
      <c r="J58" s="43" t="str">
        <f t="shared" si="24"/>
        <v>Study</v>
      </c>
      <c r="K58" s="41">
        <f t="shared" si="2"/>
        <v>0</v>
      </c>
      <c r="L58" s="80">
        <f t="shared" si="25"/>
        <v>7.25</v>
      </c>
      <c r="M58" s="41">
        <f t="shared" si="36"/>
        <v>29</v>
      </c>
      <c r="N58" s="49">
        <v>2</v>
      </c>
      <c r="O58" s="43" t="str">
        <f t="shared" si="3"/>
        <v>Study</v>
      </c>
      <c r="P58" s="43"/>
      <c r="Q58" s="43" t="str">
        <f t="shared" si="26"/>
        <v>Study</v>
      </c>
      <c r="R58" s="41">
        <f t="shared" si="4"/>
        <v>0</v>
      </c>
      <c r="S58" s="80">
        <f t="shared" si="27"/>
        <v>7.25</v>
      </c>
      <c r="T58" s="41">
        <f t="shared" si="37"/>
        <v>29</v>
      </c>
      <c r="U58" s="49">
        <v>2</v>
      </c>
      <c r="V58" s="43" t="str">
        <f t="shared" si="5"/>
        <v>Study</v>
      </c>
      <c r="W58" s="43"/>
      <c r="X58" s="43" t="str">
        <f t="shared" si="28"/>
        <v>Study</v>
      </c>
      <c r="Y58" s="41">
        <f t="shared" si="6"/>
        <v>0</v>
      </c>
      <c r="Z58" s="80">
        <f t="shared" si="29"/>
        <v>7.25</v>
      </c>
      <c r="AA58" s="41">
        <f t="shared" si="38"/>
        <v>29</v>
      </c>
      <c r="AB58" s="49">
        <v>2</v>
      </c>
      <c r="AC58" s="43" t="str">
        <f t="shared" si="7"/>
        <v>Study</v>
      </c>
      <c r="AD58" s="43"/>
      <c r="AE58" s="43" t="str">
        <f t="shared" si="30"/>
        <v>Study</v>
      </c>
      <c r="AF58" s="41">
        <f t="shared" si="8"/>
        <v>0</v>
      </c>
      <c r="AG58" s="80">
        <f t="shared" si="31"/>
        <v>7.25</v>
      </c>
      <c r="AH58" s="41">
        <f t="shared" si="39"/>
        <v>29</v>
      </c>
      <c r="AI58" s="49">
        <v>2</v>
      </c>
      <c r="AJ58" s="43" t="str">
        <f t="shared" si="9"/>
        <v>Study</v>
      </c>
      <c r="AK58" s="43"/>
      <c r="AL58" s="43" t="str">
        <f t="shared" si="44"/>
        <v>Study</v>
      </c>
      <c r="AM58" s="41">
        <f t="shared" si="11"/>
        <v>0</v>
      </c>
      <c r="AN58" s="80">
        <f t="shared" si="32"/>
        <v>7.25</v>
      </c>
      <c r="AO58" s="41">
        <f t="shared" si="40"/>
        <v>29</v>
      </c>
      <c r="AP58" s="49">
        <v>2</v>
      </c>
      <c r="AQ58" s="43" t="str">
        <f t="shared" si="12"/>
        <v>Study</v>
      </c>
      <c r="AR58" s="43"/>
      <c r="AS58" s="43" t="str">
        <f t="shared" si="33"/>
        <v>Study</v>
      </c>
      <c r="AT58" s="41">
        <f t="shared" si="13"/>
        <v>0</v>
      </c>
      <c r="AU58" s="80">
        <f t="shared" si="34"/>
        <v>7.25</v>
      </c>
      <c r="AV58" s="41">
        <f t="shared" si="41"/>
        <v>29</v>
      </c>
      <c r="AW58" s="49">
        <v>2</v>
      </c>
      <c r="AX58" s="43" t="str">
        <f t="shared" si="14"/>
        <v>Study</v>
      </c>
      <c r="AY58" s="43"/>
      <c r="AZ58" s="43" t="str">
        <f t="shared" si="35"/>
        <v>Study</v>
      </c>
      <c r="BA58" s="45">
        <f t="shared" si="45"/>
        <v>0</v>
      </c>
      <c r="BB58" s="45">
        <f t="shared" si="46"/>
        <v>7.25</v>
      </c>
      <c r="BC58" s="45">
        <f t="shared" si="47"/>
        <v>29</v>
      </c>
      <c r="BD58" s="45">
        <f t="shared" si="48"/>
        <v>2</v>
      </c>
      <c r="BE58" s="45" t="str">
        <f t="shared" si="49"/>
        <v>Study</v>
      </c>
      <c r="BF58" s="45">
        <f t="shared" si="50"/>
        <v>0</v>
      </c>
      <c r="BG58" s="46" t="str">
        <f t="shared" si="51"/>
        <v>Study</v>
      </c>
    </row>
    <row r="59" spans="1:59" s="38" customFormat="1" ht="24">
      <c r="A59" s="56"/>
      <c r="B59" s="57"/>
      <c r="C59" s="47">
        <v>0.59375</v>
      </c>
      <c r="D59" s="48">
        <f t="shared" si="0"/>
        <v>0</v>
      </c>
      <c r="E59" s="83">
        <f t="shared" si="22"/>
        <v>7.5</v>
      </c>
      <c r="F59" s="48">
        <f t="shared" si="23"/>
        <v>30</v>
      </c>
      <c r="G59" s="49">
        <v>2</v>
      </c>
      <c r="H59" s="50" t="str">
        <f t="shared" si="43"/>
        <v>Study</v>
      </c>
      <c r="I59" s="50"/>
      <c r="J59" s="50" t="str">
        <f t="shared" si="24"/>
        <v>Study</v>
      </c>
      <c r="K59" s="48">
        <f t="shared" si="2"/>
        <v>0</v>
      </c>
      <c r="L59" s="81">
        <f t="shared" si="25"/>
        <v>7.5</v>
      </c>
      <c r="M59" s="48">
        <f t="shared" si="36"/>
        <v>30</v>
      </c>
      <c r="N59" s="42">
        <v>2</v>
      </c>
      <c r="O59" s="50" t="str">
        <f t="shared" si="3"/>
        <v>Study</v>
      </c>
      <c r="P59" s="50"/>
      <c r="Q59" s="50" t="str">
        <f t="shared" si="26"/>
        <v>Study</v>
      </c>
      <c r="R59" s="48">
        <f t="shared" si="4"/>
        <v>0</v>
      </c>
      <c r="S59" s="81">
        <f t="shared" si="27"/>
        <v>7.5</v>
      </c>
      <c r="T59" s="48">
        <f t="shared" si="37"/>
        <v>30</v>
      </c>
      <c r="U59" s="42">
        <v>2</v>
      </c>
      <c r="V59" s="50" t="str">
        <f t="shared" si="5"/>
        <v>Study</v>
      </c>
      <c r="W59" s="50"/>
      <c r="X59" s="50" t="str">
        <f t="shared" si="28"/>
        <v>Study</v>
      </c>
      <c r="Y59" s="48">
        <f t="shared" si="6"/>
        <v>0</v>
      </c>
      <c r="Z59" s="81">
        <f t="shared" si="29"/>
        <v>7.5</v>
      </c>
      <c r="AA59" s="48">
        <f t="shared" si="38"/>
        <v>30</v>
      </c>
      <c r="AB59" s="42">
        <v>2</v>
      </c>
      <c r="AC59" s="50" t="str">
        <f t="shared" si="7"/>
        <v>Study</v>
      </c>
      <c r="AD59" s="50"/>
      <c r="AE59" s="50" t="str">
        <f t="shared" si="30"/>
        <v>Study</v>
      </c>
      <c r="AF59" s="48">
        <f t="shared" si="8"/>
        <v>0</v>
      </c>
      <c r="AG59" s="81">
        <f t="shared" si="31"/>
        <v>7.5</v>
      </c>
      <c r="AH59" s="48">
        <f t="shared" si="39"/>
        <v>30</v>
      </c>
      <c r="AI59" s="42">
        <v>2</v>
      </c>
      <c r="AJ59" s="50" t="str">
        <f t="shared" si="9"/>
        <v>Study</v>
      </c>
      <c r="AK59" s="50"/>
      <c r="AL59" s="50" t="str">
        <f t="shared" si="44"/>
        <v>Study</v>
      </c>
      <c r="AM59" s="48">
        <f t="shared" si="11"/>
        <v>0</v>
      </c>
      <c r="AN59" s="81">
        <f t="shared" si="32"/>
        <v>7.5</v>
      </c>
      <c r="AO59" s="48">
        <f t="shared" si="40"/>
        <v>30</v>
      </c>
      <c r="AP59" s="42">
        <v>2</v>
      </c>
      <c r="AQ59" s="50" t="str">
        <f t="shared" si="12"/>
        <v>Study</v>
      </c>
      <c r="AR59" s="50"/>
      <c r="AS59" s="50" t="str">
        <f t="shared" si="33"/>
        <v>Study</v>
      </c>
      <c r="AT59" s="48">
        <f t="shared" si="13"/>
        <v>0</v>
      </c>
      <c r="AU59" s="81">
        <f t="shared" si="34"/>
        <v>7.5</v>
      </c>
      <c r="AV59" s="48">
        <f t="shared" si="41"/>
        <v>30</v>
      </c>
      <c r="AW59" s="42">
        <v>2</v>
      </c>
      <c r="AX59" s="50" t="str">
        <f t="shared" si="14"/>
        <v>Study</v>
      </c>
      <c r="AY59" s="50"/>
      <c r="AZ59" s="50" t="str">
        <f t="shared" si="35"/>
        <v>Study</v>
      </c>
      <c r="BA59" s="45">
        <f t="shared" si="45"/>
        <v>0</v>
      </c>
      <c r="BB59" s="45">
        <f t="shared" si="46"/>
        <v>7.5</v>
      </c>
      <c r="BC59" s="45">
        <f t="shared" si="47"/>
        <v>30</v>
      </c>
      <c r="BD59" s="45">
        <f t="shared" si="48"/>
        <v>2</v>
      </c>
      <c r="BE59" s="45" t="str">
        <f t="shared" si="49"/>
        <v>Study</v>
      </c>
      <c r="BF59" s="45">
        <f t="shared" si="50"/>
        <v>0</v>
      </c>
      <c r="BG59" s="46" t="str">
        <f t="shared" si="51"/>
        <v>Study</v>
      </c>
    </row>
    <row r="60" spans="1:59" s="38" customFormat="1" ht="24">
      <c r="A60" s="56"/>
      <c r="B60" s="57"/>
      <c r="C60" s="51">
        <v>0.60416666666666696</v>
      </c>
      <c r="D60" s="41">
        <f t="shared" si="0"/>
        <v>0</v>
      </c>
      <c r="E60" s="86">
        <f t="shared" si="22"/>
        <v>7.75</v>
      </c>
      <c r="F60" s="41">
        <f t="shared" si="23"/>
        <v>31</v>
      </c>
      <c r="G60" s="42">
        <v>2</v>
      </c>
      <c r="H60" s="43" t="str">
        <f t="shared" si="43"/>
        <v>Study</v>
      </c>
      <c r="I60" s="43"/>
      <c r="J60" s="43" t="str">
        <f t="shared" si="24"/>
        <v>Study</v>
      </c>
      <c r="K60" s="41">
        <f t="shared" si="2"/>
        <v>0</v>
      </c>
      <c r="L60" s="80">
        <f t="shared" si="25"/>
        <v>7.75</v>
      </c>
      <c r="M60" s="41">
        <f t="shared" si="36"/>
        <v>31</v>
      </c>
      <c r="N60" s="49">
        <v>2</v>
      </c>
      <c r="O60" s="43" t="str">
        <f t="shared" si="3"/>
        <v>Study</v>
      </c>
      <c r="P60" s="43"/>
      <c r="Q60" s="43" t="str">
        <f t="shared" si="26"/>
        <v>Study</v>
      </c>
      <c r="R60" s="41">
        <f t="shared" si="4"/>
        <v>0</v>
      </c>
      <c r="S60" s="80">
        <f t="shared" si="27"/>
        <v>7.75</v>
      </c>
      <c r="T60" s="41">
        <f t="shared" si="37"/>
        <v>31</v>
      </c>
      <c r="U60" s="49">
        <v>2</v>
      </c>
      <c r="V60" s="43" t="str">
        <f t="shared" si="5"/>
        <v>Study</v>
      </c>
      <c r="W60" s="43"/>
      <c r="X60" s="43" t="str">
        <f t="shared" si="28"/>
        <v>Study</v>
      </c>
      <c r="Y60" s="41">
        <f t="shared" si="6"/>
        <v>0</v>
      </c>
      <c r="Z60" s="80">
        <f t="shared" si="29"/>
        <v>7.75</v>
      </c>
      <c r="AA60" s="41">
        <f t="shared" si="38"/>
        <v>31</v>
      </c>
      <c r="AB60" s="49">
        <v>2</v>
      </c>
      <c r="AC60" s="43" t="str">
        <f t="shared" si="7"/>
        <v>Study</v>
      </c>
      <c r="AD60" s="43"/>
      <c r="AE60" s="43" t="str">
        <f t="shared" si="30"/>
        <v>Study</v>
      </c>
      <c r="AF60" s="41">
        <f t="shared" si="8"/>
        <v>0</v>
      </c>
      <c r="AG60" s="80">
        <f t="shared" si="31"/>
        <v>7.75</v>
      </c>
      <c r="AH60" s="41">
        <f t="shared" si="39"/>
        <v>31</v>
      </c>
      <c r="AI60" s="49">
        <v>2</v>
      </c>
      <c r="AJ60" s="43" t="str">
        <f t="shared" si="9"/>
        <v>Study</v>
      </c>
      <c r="AK60" s="43"/>
      <c r="AL60" s="43" t="str">
        <f t="shared" si="44"/>
        <v>Study</v>
      </c>
      <c r="AM60" s="41">
        <f t="shared" si="11"/>
        <v>0</v>
      </c>
      <c r="AN60" s="80">
        <f t="shared" si="32"/>
        <v>7.75</v>
      </c>
      <c r="AO60" s="41">
        <f t="shared" si="40"/>
        <v>31</v>
      </c>
      <c r="AP60" s="49">
        <v>2</v>
      </c>
      <c r="AQ60" s="43" t="str">
        <f t="shared" si="12"/>
        <v>Study</v>
      </c>
      <c r="AR60" s="43"/>
      <c r="AS60" s="43" t="str">
        <f t="shared" si="33"/>
        <v>Study</v>
      </c>
      <c r="AT60" s="41">
        <f t="shared" si="13"/>
        <v>0</v>
      </c>
      <c r="AU60" s="80">
        <f t="shared" si="34"/>
        <v>7.75</v>
      </c>
      <c r="AV60" s="41">
        <f t="shared" si="41"/>
        <v>31</v>
      </c>
      <c r="AW60" s="49">
        <v>2</v>
      </c>
      <c r="AX60" s="43" t="str">
        <f t="shared" si="14"/>
        <v>Study</v>
      </c>
      <c r="AY60" s="43"/>
      <c r="AZ60" s="43" t="str">
        <f t="shared" si="35"/>
        <v>Study</v>
      </c>
      <c r="BA60" s="45">
        <f t="shared" si="45"/>
        <v>0</v>
      </c>
      <c r="BB60" s="45">
        <f t="shared" si="46"/>
        <v>7.75</v>
      </c>
      <c r="BC60" s="45">
        <f t="shared" si="47"/>
        <v>31</v>
      </c>
      <c r="BD60" s="45">
        <f t="shared" si="48"/>
        <v>2</v>
      </c>
      <c r="BE60" s="45" t="str">
        <f t="shared" si="49"/>
        <v>Study</v>
      </c>
      <c r="BF60" s="45">
        <f t="shared" si="50"/>
        <v>0</v>
      </c>
      <c r="BG60" s="46" t="str">
        <f t="shared" si="51"/>
        <v>Study</v>
      </c>
    </row>
    <row r="61" spans="1:59" s="38" customFormat="1" ht="24">
      <c r="A61" s="56"/>
      <c r="B61" s="57"/>
      <c r="C61" s="47">
        <v>0.61458333333333304</v>
      </c>
      <c r="D61" s="48">
        <f t="shared" si="0"/>
        <v>0</v>
      </c>
      <c r="E61" s="83">
        <f t="shared" si="22"/>
        <v>8</v>
      </c>
      <c r="F61" s="48">
        <f t="shared" si="23"/>
        <v>32</v>
      </c>
      <c r="G61" s="49">
        <v>2</v>
      </c>
      <c r="H61" s="50" t="str">
        <f t="shared" si="43"/>
        <v>Study</v>
      </c>
      <c r="I61" s="50"/>
      <c r="J61" s="50" t="str">
        <f t="shared" si="24"/>
        <v>Study</v>
      </c>
      <c r="K61" s="48">
        <f t="shared" si="2"/>
        <v>0</v>
      </c>
      <c r="L61" s="81">
        <f t="shared" si="25"/>
        <v>8</v>
      </c>
      <c r="M61" s="48">
        <f t="shared" si="36"/>
        <v>32</v>
      </c>
      <c r="N61" s="49">
        <v>2</v>
      </c>
      <c r="O61" s="50" t="str">
        <f t="shared" si="3"/>
        <v>Study</v>
      </c>
      <c r="P61" s="50"/>
      <c r="Q61" s="50" t="str">
        <f t="shared" si="26"/>
        <v>Study</v>
      </c>
      <c r="R61" s="48">
        <f t="shared" si="4"/>
        <v>0</v>
      </c>
      <c r="S61" s="81">
        <f t="shared" si="27"/>
        <v>8</v>
      </c>
      <c r="T61" s="48">
        <f t="shared" si="37"/>
        <v>32</v>
      </c>
      <c r="U61" s="49">
        <v>2</v>
      </c>
      <c r="V61" s="50" t="str">
        <f t="shared" si="5"/>
        <v>Study</v>
      </c>
      <c r="W61" s="50"/>
      <c r="X61" s="50" t="str">
        <f t="shared" si="28"/>
        <v>Study</v>
      </c>
      <c r="Y61" s="48">
        <f t="shared" si="6"/>
        <v>0</v>
      </c>
      <c r="Z61" s="81">
        <f t="shared" si="29"/>
        <v>8</v>
      </c>
      <c r="AA61" s="48">
        <f t="shared" si="38"/>
        <v>32</v>
      </c>
      <c r="AB61" s="49">
        <v>2</v>
      </c>
      <c r="AC61" s="50" t="str">
        <f t="shared" si="7"/>
        <v>Study</v>
      </c>
      <c r="AD61" s="50"/>
      <c r="AE61" s="50" t="str">
        <f t="shared" si="30"/>
        <v>Study</v>
      </c>
      <c r="AF61" s="48">
        <f t="shared" si="8"/>
        <v>0</v>
      </c>
      <c r="AG61" s="81">
        <f t="shared" si="31"/>
        <v>8</v>
      </c>
      <c r="AH61" s="48">
        <f t="shared" si="39"/>
        <v>32</v>
      </c>
      <c r="AI61" s="49">
        <v>2</v>
      </c>
      <c r="AJ61" s="50" t="str">
        <f t="shared" si="9"/>
        <v>Study</v>
      </c>
      <c r="AK61" s="50"/>
      <c r="AL61" s="50" t="str">
        <f t="shared" si="44"/>
        <v>Study</v>
      </c>
      <c r="AM61" s="48">
        <f t="shared" si="11"/>
        <v>0</v>
      </c>
      <c r="AN61" s="81">
        <f t="shared" si="32"/>
        <v>8</v>
      </c>
      <c r="AO61" s="48">
        <f t="shared" si="40"/>
        <v>32</v>
      </c>
      <c r="AP61" s="49">
        <v>2</v>
      </c>
      <c r="AQ61" s="50" t="str">
        <f t="shared" si="12"/>
        <v>Study</v>
      </c>
      <c r="AR61" s="50"/>
      <c r="AS61" s="50" t="str">
        <f t="shared" si="33"/>
        <v>Study</v>
      </c>
      <c r="AT61" s="48">
        <f t="shared" si="13"/>
        <v>0</v>
      </c>
      <c r="AU61" s="81">
        <f t="shared" si="34"/>
        <v>8</v>
      </c>
      <c r="AV61" s="48">
        <f t="shared" si="41"/>
        <v>32</v>
      </c>
      <c r="AW61" s="49">
        <v>2</v>
      </c>
      <c r="AX61" s="50" t="str">
        <f t="shared" si="14"/>
        <v>Study</v>
      </c>
      <c r="AY61" s="50"/>
      <c r="AZ61" s="50" t="str">
        <f t="shared" si="35"/>
        <v>Study</v>
      </c>
      <c r="BA61" s="45">
        <f t="shared" si="45"/>
        <v>0</v>
      </c>
      <c r="BB61" s="45">
        <f t="shared" si="46"/>
        <v>8</v>
      </c>
      <c r="BC61" s="45">
        <f t="shared" si="47"/>
        <v>32</v>
      </c>
      <c r="BD61" s="45">
        <f t="shared" si="48"/>
        <v>2</v>
      </c>
      <c r="BE61" s="45" t="str">
        <f t="shared" si="49"/>
        <v>Study</v>
      </c>
      <c r="BF61" s="45">
        <f t="shared" si="50"/>
        <v>0</v>
      </c>
      <c r="BG61" s="46" t="str">
        <f t="shared" si="51"/>
        <v>Study</v>
      </c>
    </row>
    <row r="62" spans="1:59" s="38" customFormat="1" ht="24">
      <c r="A62" s="56"/>
      <c r="B62" s="57"/>
      <c r="C62" s="51">
        <v>0.625</v>
      </c>
      <c r="D62" s="41">
        <f t="shared" si="0"/>
        <v>0</v>
      </c>
      <c r="E62" s="86">
        <f t="shared" si="22"/>
        <v>8.25</v>
      </c>
      <c r="F62" s="41">
        <f t="shared" si="23"/>
        <v>33</v>
      </c>
      <c r="G62" s="42">
        <v>2</v>
      </c>
      <c r="H62" s="43" t="str">
        <f t="shared" si="43"/>
        <v>Study</v>
      </c>
      <c r="I62" s="43"/>
      <c r="J62" s="43" t="str">
        <f t="shared" si="24"/>
        <v>Study</v>
      </c>
      <c r="K62" s="41">
        <f t="shared" si="2"/>
        <v>0</v>
      </c>
      <c r="L62" s="80">
        <f t="shared" si="25"/>
        <v>8.25</v>
      </c>
      <c r="M62" s="41">
        <f t="shared" si="36"/>
        <v>33</v>
      </c>
      <c r="N62" s="42">
        <v>2</v>
      </c>
      <c r="O62" s="43" t="str">
        <f t="shared" si="3"/>
        <v>Study</v>
      </c>
      <c r="P62" s="43"/>
      <c r="Q62" s="43" t="str">
        <f t="shared" si="26"/>
        <v>Study</v>
      </c>
      <c r="R62" s="41">
        <f t="shared" si="4"/>
        <v>0</v>
      </c>
      <c r="S62" s="80">
        <f t="shared" si="27"/>
        <v>8.25</v>
      </c>
      <c r="T62" s="41">
        <f t="shared" si="37"/>
        <v>33</v>
      </c>
      <c r="U62" s="42">
        <v>2</v>
      </c>
      <c r="V62" s="43" t="str">
        <f t="shared" si="5"/>
        <v>Study</v>
      </c>
      <c r="W62" s="43"/>
      <c r="X62" s="43" t="str">
        <f t="shared" si="28"/>
        <v>Study</v>
      </c>
      <c r="Y62" s="41">
        <f t="shared" si="6"/>
        <v>0</v>
      </c>
      <c r="Z62" s="80">
        <f t="shared" si="29"/>
        <v>8.25</v>
      </c>
      <c r="AA62" s="41">
        <f t="shared" si="38"/>
        <v>33</v>
      </c>
      <c r="AB62" s="42">
        <v>2</v>
      </c>
      <c r="AC62" s="43" t="str">
        <f t="shared" si="7"/>
        <v>Study</v>
      </c>
      <c r="AD62" s="43"/>
      <c r="AE62" s="43" t="str">
        <f t="shared" si="30"/>
        <v>Study</v>
      </c>
      <c r="AF62" s="41">
        <f t="shared" si="8"/>
        <v>0</v>
      </c>
      <c r="AG62" s="80">
        <f t="shared" si="31"/>
        <v>8.25</v>
      </c>
      <c r="AH62" s="41">
        <f t="shared" si="39"/>
        <v>33</v>
      </c>
      <c r="AI62" s="42">
        <v>2</v>
      </c>
      <c r="AJ62" s="43" t="str">
        <f t="shared" si="9"/>
        <v>Study</v>
      </c>
      <c r="AK62" s="43"/>
      <c r="AL62" s="43" t="str">
        <f t="shared" si="44"/>
        <v>Study</v>
      </c>
      <c r="AM62" s="41">
        <f t="shared" si="11"/>
        <v>0</v>
      </c>
      <c r="AN62" s="80">
        <f t="shared" si="32"/>
        <v>8.25</v>
      </c>
      <c r="AO62" s="41">
        <f t="shared" si="40"/>
        <v>33</v>
      </c>
      <c r="AP62" s="42">
        <v>2</v>
      </c>
      <c r="AQ62" s="43" t="str">
        <f t="shared" si="12"/>
        <v>Study</v>
      </c>
      <c r="AR62" s="43"/>
      <c r="AS62" s="43" t="str">
        <f t="shared" si="33"/>
        <v>Study</v>
      </c>
      <c r="AT62" s="41">
        <f t="shared" si="13"/>
        <v>0</v>
      </c>
      <c r="AU62" s="80">
        <f t="shared" si="34"/>
        <v>8.25</v>
      </c>
      <c r="AV62" s="41">
        <f t="shared" si="41"/>
        <v>33</v>
      </c>
      <c r="AW62" s="42">
        <v>2</v>
      </c>
      <c r="AX62" s="43" t="str">
        <f t="shared" si="14"/>
        <v>Study</v>
      </c>
      <c r="AY62" s="43"/>
      <c r="AZ62" s="43" t="str">
        <f t="shared" si="35"/>
        <v>Study</v>
      </c>
      <c r="BA62" s="45">
        <f t="shared" si="45"/>
        <v>0</v>
      </c>
      <c r="BB62" s="45">
        <f t="shared" si="46"/>
        <v>8.25</v>
      </c>
      <c r="BC62" s="45">
        <f t="shared" si="47"/>
        <v>33</v>
      </c>
      <c r="BD62" s="45">
        <f t="shared" si="48"/>
        <v>2</v>
      </c>
      <c r="BE62" s="45" t="str">
        <f t="shared" si="49"/>
        <v>Study</v>
      </c>
      <c r="BF62" s="45">
        <f t="shared" si="50"/>
        <v>0</v>
      </c>
      <c r="BG62" s="46" t="str">
        <f t="shared" si="51"/>
        <v>Study</v>
      </c>
    </row>
    <row r="63" spans="1:59" s="38" customFormat="1" ht="24">
      <c r="A63" s="56"/>
      <c r="B63" s="57"/>
      <c r="C63" s="47">
        <v>0.63541666666666696</v>
      </c>
      <c r="D63" s="48">
        <f t="shared" si="0"/>
        <v>0</v>
      </c>
      <c r="E63" s="83">
        <f t="shared" si="22"/>
        <v>8.5</v>
      </c>
      <c r="F63" s="49">
        <f t="shared" si="23"/>
        <v>34</v>
      </c>
      <c r="G63" s="49">
        <v>2</v>
      </c>
      <c r="H63" s="50" t="str">
        <f t="shared" si="43"/>
        <v>Study</v>
      </c>
      <c r="I63" s="50"/>
      <c r="J63" s="50" t="str">
        <f t="shared" si="24"/>
        <v>Study</v>
      </c>
      <c r="K63" s="48">
        <f t="shared" si="2"/>
        <v>0</v>
      </c>
      <c r="L63" s="81">
        <f t="shared" si="25"/>
        <v>8.5</v>
      </c>
      <c r="M63" s="49">
        <f t="shared" si="36"/>
        <v>34</v>
      </c>
      <c r="N63" s="49">
        <v>2</v>
      </c>
      <c r="O63" s="50" t="str">
        <f t="shared" ref="O63:O73" si="52">LOOKUP(N63,index,indexname)</f>
        <v>Study</v>
      </c>
      <c r="P63" s="50"/>
      <c r="Q63" s="50" t="str">
        <f t="shared" si="26"/>
        <v>Study</v>
      </c>
      <c r="R63" s="48">
        <f t="shared" si="4"/>
        <v>0</v>
      </c>
      <c r="S63" s="81">
        <f t="shared" si="27"/>
        <v>8.5</v>
      </c>
      <c r="T63" s="49">
        <f t="shared" si="37"/>
        <v>34</v>
      </c>
      <c r="U63" s="49">
        <v>2</v>
      </c>
      <c r="V63" s="50" t="str">
        <f t="shared" si="5"/>
        <v>Study</v>
      </c>
      <c r="W63" s="50"/>
      <c r="X63" s="50" t="str">
        <f t="shared" si="28"/>
        <v>Study</v>
      </c>
      <c r="Y63" s="48">
        <f t="shared" si="6"/>
        <v>0</v>
      </c>
      <c r="Z63" s="81">
        <f t="shared" si="29"/>
        <v>8.5</v>
      </c>
      <c r="AA63" s="49">
        <f t="shared" si="38"/>
        <v>34</v>
      </c>
      <c r="AB63" s="49">
        <v>2</v>
      </c>
      <c r="AC63" s="50" t="str">
        <f t="shared" si="7"/>
        <v>Study</v>
      </c>
      <c r="AD63" s="50"/>
      <c r="AE63" s="50" t="str">
        <f t="shared" si="30"/>
        <v>Study</v>
      </c>
      <c r="AF63" s="48">
        <f t="shared" si="8"/>
        <v>0</v>
      </c>
      <c r="AG63" s="81">
        <f t="shared" si="31"/>
        <v>8.5</v>
      </c>
      <c r="AH63" s="49">
        <f t="shared" si="39"/>
        <v>34</v>
      </c>
      <c r="AI63" s="49">
        <v>2</v>
      </c>
      <c r="AJ63" s="50" t="str">
        <f t="shared" si="9"/>
        <v>Study</v>
      </c>
      <c r="AK63" s="50"/>
      <c r="AL63" s="50" t="str">
        <f t="shared" si="44"/>
        <v>Study</v>
      </c>
      <c r="AM63" s="48">
        <f t="shared" si="11"/>
        <v>0</v>
      </c>
      <c r="AN63" s="81">
        <f t="shared" si="32"/>
        <v>8.5</v>
      </c>
      <c r="AO63" s="49">
        <f t="shared" si="40"/>
        <v>34</v>
      </c>
      <c r="AP63" s="49">
        <v>2</v>
      </c>
      <c r="AQ63" s="50" t="str">
        <f t="shared" si="12"/>
        <v>Study</v>
      </c>
      <c r="AR63" s="50"/>
      <c r="AS63" s="50" t="str">
        <f t="shared" si="33"/>
        <v>Study</v>
      </c>
      <c r="AT63" s="48">
        <f t="shared" si="13"/>
        <v>0</v>
      </c>
      <c r="AU63" s="81">
        <f t="shared" si="34"/>
        <v>8.5</v>
      </c>
      <c r="AV63" s="49">
        <f t="shared" si="41"/>
        <v>34</v>
      </c>
      <c r="AW63" s="49">
        <v>2</v>
      </c>
      <c r="AX63" s="50" t="str">
        <f t="shared" si="14"/>
        <v>Study</v>
      </c>
      <c r="AY63" s="50"/>
      <c r="AZ63" s="50" t="str">
        <f t="shared" si="35"/>
        <v>Study</v>
      </c>
      <c r="BA63" s="45">
        <f t="shared" si="45"/>
        <v>0</v>
      </c>
      <c r="BB63" s="45">
        <f t="shared" si="46"/>
        <v>8.5</v>
      </c>
      <c r="BC63" s="45">
        <f t="shared" si="47"/>
        <v>34</v>
      </c>
      <c r="BD63" s="45">
        <f t="shared" si="48"/>
        <v>2</v>
      </c>
      <c r="BE63" s="45" t="str">
        <f t="shared" si="49"/>
        <v>Study</v>
      </c>
      <c r="BF63" s="45">
        <f t="shared" si="50"/>
        <v>0</v>
      </c>
      <c r="BG63" s="46" t="str">
        <f t="shared" si="51"/>
        <v>Study</v>
      </c>
    </row>
    <row r="64" spans="1:59" s="38" customFormat="1" ht="24">
      <c r="A64" s="56"/>
      <c r="B64" s="57"/>
      <c r="C64" s="51">
        <v>0.64583333333333304</v>
      </c>
      <c r="D64" s="41">
        <f t="shared" si="0"/>
        <v>0</v>
      </c>
      <c r="E64" s="86">
        <f t="shared" si="22"/>
        <v>8.75</v>
      </c>
      <c r="F64" s="42">
        <f t="shared" si="23"/>
        <v>35</v>
      </c>
      <c r="G64" s="42">
        <v>2</v>
      </c>
      <c r="H64" s="43" t="str">
        <f t="shared" si="43"/>
        <v>Study</v>
      </c>
      <c r="I64" s="43"/>
      <c r="J64" s="43" t="str">
        <f t="shared" si="24"/>
        <v>Study</v>
      </c>
      <c r="K64" s="41">
        <f t="shared" si="2"/>
        <v>0</v>
      </c>
      <c r="L64" s="80">
        <f t="shared" si="25"/>
        <v>8.75</v>
      </c>
      <c r="M64" s="42">
        <f t="shared" si="36"/>
        <v>35</v>
      </c>
      <c r="N64" s="42">
        <v>2</v>
      </c>
      <c r="O64" s="43" t="str">
        <f t="shared" si="52"/>
        <v>Study</v>
      </c>
      <c r="P64" s="43"/>
      <c r="Q64" s="43" t="str">
        <f t="shared" si="26"/>
        <v>Study</v>
      </c>
      <c r="R64" s="41">
        <f t="shared" si="4"/>
        <v>0</v>
      </c>
      <c r="S64" s="80">
        <f t="shared" si="27"/>
        <v>8.75</v>
      </c>
      <c r="T64" s="42">
        <f t="shared" si="37"/>
        <v>35</v>
      </c>
      <c r="U64" s="42">
        <v>2</v>
      </c>
      <c r="V64" s="43" t="str">
        <f t="shared" si="5"/>
        <v>Study</v>
      </c>
      <c r="W64" s="43"/>
      <c r="X64" s="43" t="str">
        <f t="shared" si="28"/>
        <v>Study</v>
      </c>
      <c r="Y64" s="41">
        <f t="shared" si="6"/>
        <v>0</v>
      </c>
      <c r="Z64" s="80">
        <f t="shared" si="29"/>
        <v>8.75</v>
      </c>
      <c r="AA64" s="42">
        <f t="shared" si="38"/>
        <v>35</v>
      </c>
      <c r="AB64" s="42">
        <v>2</v>
      </c>
      <c r="AC64" s="43" t="str">
        <f t="shared" si="7"/>
        <v>Study</v>
      </c>
      <c r="AD64" s="43"/>
      <c r="AE64" s="43" t="str">
        <f t="shared" si="30"/>
        <v>Study</v>
      </c>
      <c r="AF64" s="41">
        <f t="shared" si="8"/>
        <v>0</v>
      </c>
      <c r="AG64" s="80">
        <f t="shared" si="31"/>
        <v>8.75</v>
      </c>
      <c r="AH64" s="42">
        <f t="shared" si="39"/>
        <v>35</v>
      </c>
      <c r="AI64" s="42">
        <v>2</v>
      </c>
      <c r="AJ64" s="43" t="str">
        <f t="shared" si="9"/>
        <v>Study</v>
      </c>
      <c r="AK64" s="43"/>
      <c r="AL64" s="43" t="str">
        <f t="shared" si="44"/>
        <v>Study</v>
      </c>
      <c r="AM64" s="41">
        <f t="shared" si="11"/>
        <v>0</v>
      </c>
      <c r="AN64" s="80">
        <f t="shared" si="32"/>
        <v>8.75</v>
      </c>
      <c r="AO64" s="42">
        <f t="shared" si="40"/>
        <v>35</v>
      </c>
      <c r="AP64" s="42">
        <v>2</v>
      </c>
      <c r="AQ64" s="43" t="str">
        <f t="shared" si="12"/>
        <v>Study</v>
      </c>
      <c r="AR64" s="43"/>
      <c r="AS64" s="43" t="str">
        <f t="shared" si="33"/>
        <v>Study</v>
      </c>
      <c r="AT64" s="41">
        <f t="shared" si="13"/>
        <v>0</v>
      </c>
      <c r="AU64" s="80">
        <f t="shared" si="34"/>
        <v>8.75</v>
      </c>
      <c r="AV64" s="42">
        <f t="shared" si="41"/>
        <v>35</v>
      </c>
      <c r="AW64" s="42">
        <v>2</v>
      </c>
      <c r="AX64" s="43" t="str">
        <f t="shared" si="14"/>
        <v>Study</v>
      </c>
      <c r="AY64" s="43"/>
      <c r="AZ64" s="43" t="str">
        <f t="shared" si="35"/>
        <v>Study</v>
      </c>
      <c r="BA64" s="45">
        <f t="shared" si="45"/>
        <v>0</v>
      </c>
      <c r="BB64" s="45">
        <f t="shared" si="46"/>
        <v>8.75</v>
      </c>
      <c r="BC64" s="45">
        <f t="shared" si="47"/>
        <v>35</v>
      </c>
      <c r="BD64" s="45">
        <f t="shared" si="48"/>
        <v>2</v>
      </c>
      <c r="BE64" s="45" t="str">
        <f t="shared" si="49"/>
        <v>Study</v>
      </c>
      <c r="BF64" s="45">
        <f t="shared" si="50"/>
        <v>0</v>
      </c>
      <c r="BG64" s="46" t="str">
        <f t="shared" si="51"/>
        <v>Study</v>
      </c>
    </row>
    <row r="65" spans="1:59" s="38" customFormat="1" ht="24">
      <c r="A65" s="56"/>
      <c r="B65" s="57"/>
      <c r="C65" s="47">
        <v>0.65625</v>
      </c>
      <c r="D65" s="48">
        <f t="shared" si="0"/>
        <v>0</v>
      </c>
      <c r="E65" s="83">
        <f t="shared" si="22"/>
        <v>9</v>
      </c>
      <c r="F65" s="49">
        <f t="shared" si="23"/>
        <v>36</v>
      </c>
      <c r="G65" s="49">
        <v>2</v>
      </c>
      <c r="H65" s="50" t="str">
        <f t="shared" si="43"/>
        <v>Study</v>
      </c>
      <c r="I65" s="50"/>
      <c r="J65" s="50" t="str">
        <f t="shared" si="24"/>
        <v>Study</v>
      </c>
      <c r="K65" s="48">
        <f t="shared" si="2"/>
        <v>0</v>
      </c>
      <c r="L65" s="81">
        <f t="shared" si="25"/>
        <v>9</v>
      </c>
      <c r="M65" s="49">
        <f t="shared" si="36"/>
        <v>36</v>
      </c>
      <c r="N65" s="49">
        <v>2</v>
      </c>
      <c r="O65" s="50" t="str">
        <f t="shared" si="52"/>
        <v>Study</v>
      </c>
      <c r="P65" s="50"/>
      <c r="Q65" s="50" t="str">
        <f t="shared" si="26"/>
        <v>Study</v>
      </c>
      <c r="R65" s="48">
        <f t="shared" si="4"/>
        <v>0</v>
      </c>
      <c r="S65" s="81">
        <f t="shared" si="27"/>
        <v>9</v>
      </c>
      <c r="T65" s="49">
        <f t="shared" si="37"/>
        <v>36</v>
      </c>
      <c r="U65" s="49">
        <v>2</v>
      </c>
      <c r="V65" s="50" t="str">
        <f t="shared" si="5"/>
        <v>Study</v>
      </c>
      <c r="W65" s="50"/>
      <c r="X65" s="50" t="str">
        <f t="shared" si="28"/>
        <v>Study</v>
      </c>
      <c r="Y65" s="48">
        <f t="shared" si="6"/>
        <v>0</v>
      </c>
      <c r="Z65" s="81">
        <f t="shared" si="29"/>
        <v>9</v>
      </c>
      <c r="AA65" s="49">
        <f t="shared" si="38"/>
        <v>36</v>
      </c>
      <c r="AB65" s="49">
        <v>2</v>
      </c>
      <c r="AC65" s="50" t="str">
        <f t="shared" si="7"/>
        <v>Study</v>
      </c>
      <c r="AD65" s="50"/>
      <c r="AE65" s="50" t="str">
        <f t="shared" si="30"/>
        <v>Study</v>
      </c>
      <c r="AF65" s="48">
        <f t="shared" si="8"/>
        <v>0</v>
      </c>
      <c r="AG65" s="81">
        <f t="shared" si="31"/>
        <v>9</v>
      </c>
      <c r="AH65" s="49">
        <f t="shared" si="39"/>
        <v>36</v>
      </c>
      <c r="AI65" s="49">
        <v>2</v>
      </c>
      <c r="AJ65" s="50" t="str">
        <f t="shared" si="9"/>
        <v>Study</v>
      </c>
      <c r="AK65" s="50"/>
      <c r="AL65" s="50" t="str">
        <f t="shared" si="44"/>
        <v>Study</v>
      </c>
      <c r="AM65" s="48">
        <f t="shared" si="11"/>
        <v>0</v>
      </c>
      <c r="AN65" s="81">
        <f t="shared" si="32"/>
        <v>9</v>
      </c>
      <c r="AO65" s="49">
        <f t="shared" si="40"/>
        <v>36</v>
      </c>
      <c r="AP65" s="49">
        <v>2</v>
      </c>
      <c r="AQ65" s="50" t="str">
        <f t="shared" si="12"/>
        <v>Study</v>
      </c>
      <c r="AR65" s="50"/>
      <c r="AS65" s="50" t="str">
        <f t="shared" si="33"/>
        <v>Study</v>
      </c>
      <c r="AT65" s="48">
        <f t="shared" si="13"/>
        <v>0</v>
      </c>
      <c r="AU65" s="81">
        <f t="shared" si="34"/>
        <v>9</v>
      </c>
      <c r="AV65" s="49">
        <f t="shared" si="41"/>
        <v>36</v>
      </c>
      <c r="AW65" s="49">
        <v>2</v>
      </c>
      <c r="AX65" s="50" t="str">
        <f t="shared" si="14"/>
        <v>Study</v>
      </c>
      <c r="AY65" s="50"/>
      <c r="AZ65" s="50" t="str">
        <f t="shared" si="35"/>
        <v>Study</v>
      </c>
      <c r="BA65" s="45">
        <f t="shared" si="45"/>
        <v>0</v>
      </c>
      <c r="BB65" s="45">
        <f t="shared" si="46"/>
        <v>9</v>
      </c>
      <c r="BC65" s="45">
        <f t="shared" si="47"/>
        <v>36</v>
      </c>
      <c r="BD65" s="45">
        <f t="shared" si="48"/>
        <v>2</v>
      </c>
      <c r="BE65" s="45" t="str">
        <f t="shared" si="49"/>
        <v>Study</v>
      </c>
      <c r="BF65" s="45">
        <f t="shared" si="50"/>
        <v>0</v>
      </c>
      <c r="BG65" s="46" t="str">
        <f t="shared" si="51"/>
        <v>Study</v>
      </c>
    </row>
    <row r="66" spans="1:59" s="38" customFormat="1" ht="24">
      <c r="A66" s="56"/>
      <c r="B66" s="57"/>
      <c r="C66" s="51">
        <v>0.66666666666666696</v>
      </c>
      <c r="D66" s="41">
        <f t="shared" si="0"/>
        <v>0</v>
      </c>
      <c r="E66" s="86">
        <f t="shared" si="22"/>
        <v>9.25</v>
      </c>
      <c r="F66" s="42">
        <f t="shared" si="23"/>
        <v>37</v>
      </c>
      <c r="G66" s="42">
        <v>2</v>
      </c>
      <c r="H66" s="43" t="str">
        <f t="shared" ref="H66:H97" si="53">LOOKUP(G66,index,indexname)</f>
        <v>Study</v>
      </c>
      <c r="I66" s="43"/>
      <c r="J66" s="43" t="str">
        <f t="shared" si="24"/>
        <v>Study</v>
      </c>
      <c r="K66" s="41">
        <f t="shared" si="2"/>
        <v>0</v>
      </c>
      <c r="L66" s="80">
        <f t="shared" si="25"/>
        <v>9.25</v>
      </c>
      <c r="M66" s="42">
        <f t="shared" si="36"/>
        <v>37</v>
      </c>
      <c r="N66" s="42">
        <v>2</v>
      </c>
      <c r="O66" s="43" t="str">
        <f t="shared" si="52"/>
        <v>Study</v>
      </c>
      <c r="P66" s="43"/>
      <c r="Q66" s="43" t="str">
        <f t="shared" si="26"/>
        <v>Study</v>
      </c>
      <c r="R66" s="41">
        <f t="shared" si="4"/>
        <v>0</v>
      </c>
      <c r="S66" s="80">
        <f t="shared" si="27"/>
        <v>9.25</v>
      </c>
      <c r="T66" s="42">
        <f t="shared" si="37"/>
        <v>37</v>
      </c>
      <c r="U66" s="42">
        <v>2</v>
      </c>
      <c r="V66" s="43" t="str">
        <f t="shared" ref="V66:V97" si="54">LOOKUP(U66,index,indexname)</f>
        <v>Study</v>
      </c>
      <c r="W66" s="43"/>
      <c r="X66" s="43" t="str">
        <f t="shared" si="28"/>
        <v>Study</v>
      </c>
      <c r="Y66" s="41">
        <f t="shared" si="6"/>
        <v>0</v>
      </c>
      <c r="Z66" s="80">
        <f t="shared" si="29"/>
        <v>9.25</v>
      </c>
      <c r="AA66" s="42">
        <f t="shared" si="38"/>
        <v>37</v>
      </c>
      <c r="AB66" s="42">
        <v>2</v>
      </c>
      <c r="AC66" s="43" t="str">
        <f t="shared" ref="AC66:AC97" si="55">LOOKUP(AB66,index,indexname)</f>
        <v>Study</v>
      </c>
      <c r="AD66" s="43"/>
      <c r="AE66" s="43" t="str">
        <f t="shared" si="30"/>
        <v>Study</v>
      </c>
      <c r="AF66" s="41">
        <f t="shared" si="8"/>
        <v>0</v>
      </c>
      <c r="AG66" s="80">
        <f t="shared" si="31"/>
        <v>9.25</v>
      </c>
      <c r="AH66" s="42">
        <f t="shared" si="39"/>
        <v>37</v>
      </c>
      <c r="AI66" s="42">
        <v>2</v>
      </c>
      <c r="AJ66" s="43" t="str">
        <f t="shared" ref="AJ66:AJ97" si="56">LOOKUP(AI66,index,indexname)</f>
        <v>Study</v>
      </c>
      <c r="AK66" s="43"/>
      <c r="AL66" s="43" t="str">
        <f t="shared" ref="AL66:AL97" si="57">IF(AK66="",AJ66,AK66)</f>
        <v>Study</v>
      </c>
      <c r="AM66" s="41">
        <f t="shared" si="11"/>
        <v>0</v>
      </c>
      <c r="AN66" s="80">
        <f t="shared" si="32"/>
        <v>9.25</v>
      </c>
      <c r="AO66" s="42">
        <f t="shared" si="40"/>
        <v>37</v>
      </c>
      <c r="AP66" s="42">
        <v>2</v>
      </c>
      <c r="AQ66" s="43" t="str">
        <f t="shared" ref="AQ66:AQ97" si="58">LOOKUP(AP66,index,indexname)</f>
        <v>Study</v>
      </c>
      <c r="AR66" s="43"/>
      <c r="AS66" s="43" t="str">
        <f t="shared" si="33"/>
        <v>Study</v>
      </c>
      <c r="AT66" s="41">
        <f t="shared" si="13"/>
        <v>0</v>
      </c>
      <c r="AU66" s="80">
        <f t="shared" si="34"/>
        <v>9.25</v>
      </c>
      <c r="AV66" s="42">
        <f t="shared" si="41"/>
        <v>37</v>
      </c>
      <c r="AW66" s="42">
        <v>2</v>
      </c>
      <c r="AX66" s="43" t="str">
        <f t="shared" ref="AX66:AX97" si="59">LOOKUP(AW66,index,indexname)</f>
        <v>Study</v>
      </c>
      <c r="AY66" s="43"/>
      <c r="AZ66" s="43" t="str">
        <f t="shared" si="35"/>
        <v>Study</v>
      </c>
      <c r="BA66" s="45">
        <f t="shared" ref="BA66:BA97" si="60">D66</f>
        <v>0</v>
      </c>
      <c r="BB66" s="45">
        <f t="shared" ref="BB66:BB97" si="61">E66</f>
        <v>9.25</v>
      </c>
      <c r="BC66" s="45">
        <f t="shared" ref="BC66:BC97" si="62">F66</f>
        <v>37</v>
      </c>
      <c r="BD66" s="45">
        <f t="shared" ref="BD66:BD97" si="63">G66</f>
        <v>2</v>
      </c>
      <c r="BE66" s="45" t="str">
        <f t="shared" ref="BE66:BE97" si="64">H66</f>
        <v>Study</v>
      </c>
      <c r="BF66" s="45">
        <f t="shared" ref="BF66:BF97" si="65">I66</f>
        <v>0</v>
      </c>
      <c r="BG66" s="46" t="str">
        <f t="shared" ref="BG66:BG97" si="66">J66</f>
        <v>Study</v>
      </c>
    </row>
    <row r="67" spans="1:59" s="38" customFormat="1" ht="24">
      <c r="A67" s="56"/>
      <c r="B67" s="57"/>
      <c r="C67" s="47">
        <v>0.67708333333333304</v>
      </c>
      <c r="D67" s="48">
        <f t="shared" ref="D67:D96" si="67">IF(F68=1,ROW(F67),0)</f>
        <v>0</v>
      </c>
      <c r="E67" s="83">
        <f t="shared" ref="E67:E97" si="68">F67/4</f>
        <v>9.5</v>
      </c>
      <c r="F67" s="49">
        <f t="shared" ref="F67:F97" si="69">IF(G67=G66,F66+1,1)</f>
        <v>38</v>
      </c>
      <c r="G67" s="49">
        <v>2</v>
      </c>
      <c r="H67" s="50" t="str">
        <f t="shared" si="53"/>
        <v>Study</v>
      </c>
      <c r="I67" s="50"/>
      <c r="J67" s="50" t="str">
        <f t="shared" ref="J67:J97" si="70">IF(I67="",H67,I67)</f>
        <v>Study</v>
      </c>
      <c r="K67" s="48">
        <f t="shared" ref="K67:K96" si="71">IF(M68=1,ROW(M67),0)</f>
        <v>0</v>
      </c>
      <c r="L67" s="81">
        <f t="shared" ref="L67:L97" si="72">M67/4</f>
        <v>9.5</v>
      </c>
      <c r="M67" s="49">
        <f t="shared" si="36"/>
        <v>38</v>
      </c>
      <c r="N67" s="49">
        <v>2</v>
      </c>
      <c r="O67" s="50" t="str">
        <f t="shared" si="52"/>
        <v>Study</v>
      </c>
      <c r="P67" s="50"/>
      <c r="Q67" s="50" t="str">
        <f t="shared" ref="Q67:Q97" si="73">IF(P67="",O67,P67)</f>
        <v>Study</v>
      </c>
      <c r="R67" s="48">
        <f t="shared" ref="R67:R96" si="74">IF(T68=1,ROW(T67),0)</f>
        <v>0</v>
      </c>
      <c r="S67" s="81">
        <f t="shared" ref="S67:S97" si="75">T67/4</f>
        <v>9.5</v>
      </c>
      <c r="T67" s="49">
        <f t="shared" si="37"/>
        <v>38</v>
      </c>
      <c r="U67" s="49">
        <v>2</v>
      </c>
      <c r="V67" s="50" t="str">
        <f t="shared" si="54"/>
        <v>Study</v>
      </c>
      <c r="W67" s="50"/>
      <c r="X67" s="50" t="str">
        <f t="shared" ref="X67:X97" si="76">IF(W67="",V67,W67)</f>
        <v>Study</v>
      </c>
      <c r="Y67" s="48">
        <f t="shared" ref="Y67:Y96" si="77">IF(AA68=1,ROW(AA67),0)</f>
        <v>0</v>
      </c>
      <c r="Z67" s="81">
        <f t="shared" ref="Z67:Z97" si="78">AA67/4</f>
        <v>9.5</v>
      </c>
      <c r="AA67" s="49">
        <f t="shared" si="38"/>
        <v>38</v>
      </c>
      <c r="AB67" s="49">
        <v>2</v>
      </c>
      <c r="AC67" s="50" t="str">
        <f t="shared" si="55"/>
        <v>Study</v>
      </c>
      <c r="AD67" s="50"/>
      <c r="AE67" s="50" t="str">
        <f t="shared" ref="AE67:AE97" si="79">IF(AD67="",AC67,AD67)</f>
        <v>Study</v>
      </c>
      <c r="AF67" s="48">
        <f t="shared" ref="AF67:AF96" si="80">IF(AH68=1,ROW(AH67),0)</f>
        <v>0</v>
      </c>
      <c r="AG67" s="81">
        <f t="shared" ref="AG67:AG97" si="81">AH67/4</f>
        <v>9.5</v>
      </c>
      <c r="AH67" s="49">
        <f t="shared" si="39"/>
        <v>38</v>
      </c>
      <c r="AI67" s="49">
        <v>2</v>
      </c>
      <c r="AJ67" s="50" t="str">
        <f t="shared" si="56"/>
        <v>Study</v>
      </c>
      <c r="AK67" s="50"/>
      <c r="AL67" s="50" t="str">
        <f t="shared" si="57"/>
        <v>Study</v>
      </c>
      <c r="AM67" s="48">
        <f t="shared" ref="AM67:AM96" si="82">IF(AO68=1,ROW(AO67),0)</f>
        <v>0</v>
      </c>
      <c r="AN67" s="81">
        <f t="shared" ref="AN67:AN97" si="83">AO67/4</f>
        <v>9.5</v>
      </c>
      <c r="AO67" s="49">
        <f t="shared" si="40"/>
        <v>38</v>
      </c>
      <c r="AP67" s="49">
        <v>2</v>
      </c>
      <c r="AQ67" s="50" t="str">
        <f t="shared" si="58"/>
        <v>Study</v>
      </c>
      <c r="AR67" s="50"/>
      <c r="AS67" s="50" t="str">
        <f t="shared" ref="AS67:AS97" si="84">IF(AR67="",AQ67,AR67)</f>
        <v>Study</v>
      </c>
      <c r="AT67" s="48">
        <f t="shared" ref="AT67:AT96" si="85">IF(AV68=1,ROW(AV67),0)</f>
        <v>0</v>
      </c>
      <c r="AU67" s="81">
        <f t="shared" ref="AU67:AU97" si="86">AV67/4</f>
        <v>9.5</v>
      </c>
      <c r="AV67" s="49">
        <f t="shared" si="41"/>
        <v>38</v>
      </c>
      <c r="AW67" s="49">
        <v>2</v>
      </c>
      <c r="AX67" s="50" t="str">
        <f t="shared" si="59"/>
        <v>Study</v>
      </c>
      <c r="AY67" s="50"/>
      <c r="AZ67" s="50" t="str">
        <f t="shared" ref="AZ67:AZ97" si="87">IF(AY67="",AX67,AY67)</f>
        <v>Study</v>
      </c>
      <c r="BA67" s="45">
        <f t="shared" si="60"/>
        <v>0</v>
      </c>
      <c r="BB67" s="45">
        <f t="shared" si="61"/>
        <v>9.5</v>
      </c>
      <c r="BC67" s="45">
        <f t="shared" si="62"/>
        <v>38</v>
      </c>
      <c r="BD67" s="45">
        <f t="shared" si="63"/>
        <v>2</v>
      </c>
      <c r="BE67" s="45" t="str">
        <f t="shared" si="64"/>
        <v>Study</v>
      </c>
      <c r="BF67" s="45">
        <f t="shared" si="65"/>
        <v>0</v>
      </c>
      <c r="BG67" s="46" t="str">
        <f t="shared" si="66"/>
        <v>Study</v>
      </c>
    </row>
    <row r="68" spans="1:59" s="38" customFormat="1" ht="24">
      <c r="A68" s="56"/>
      <c r="B68" s="57"/>
      <c r="C68" s="51">
        <v>0.6875</v>
      </c>
      <c r="D68" s="41">
        <f t="shared" si="67"/>
        <v>0</v>
      </c>
      <c r="E68" s="86">
        <f t="shared" si="68"/>
        <v>9.75</v>
      </c>
      <c r="F68" s="42">
        <f t="shared" si="69"/>
        <v>39</v>
      </c>
      <c r="G68" s="42">
        <v>2</v>
      </c>
      <c r="H68" s="43" t="str">
        <f t="shared" si="53"/>
        <v>Study</v>
      </c>
      <c r="I68" s="43"/>
      <c r="J68" s="43" t="str">
        <f t="shared" si="70"/>
        <v>Study</v>
      </c>
      <c r="K68" s="41">
        <f t="shared" si="71"/>
        <v>0</v>
      </c>
      <c r="L68" s="80">
        <f t="shared" si="72"/>
        <v>9.75</v>
      </c>
      <c r="M68" s="42">
        <f t="shared" ref="M68:M97" si="88">IF(N68=N67,M67+1,1)</f>
        <v>39</v>
      </c>
      <c r="N68" s="42">
        <v>2</v>
      </c>
      <c r="O68" s="43" t="str">
        <f t="shared" si="52"/>
        <v>Study</v>
      </c>
      <c r="P68" s="43"/>
      <c r="Q68" s="43" t="str">
        <f t="shared" si="73"/>
        <v>Study</v>
      </c>
      <c r="R68" s="41">
        <f t="shared" si="74"/>
        <v>0</v>
      </c>
      <c r="S68" s="80">
        <f t="shared" si="75"/>
        <v>9.75</v>
      </c>
      <c r="T68" s="42">
        <f t="shared" ref="T68:T97" si="89">IF(U68=U67,T67+1,1)</f>
        <v>39</v>
      </c>
      <c r="U68" s="42">
        <v>2</v>
      </c>
      <c r="V68" s="43" t="str">
        <f t="shared" si="54"/>
        <v>Study</v>
      </c>
      <c r="W68" s="43"/>
      <c r="X68" s="43" t="str">
        <f t="shared" si="76"/>
        <v>Study</v>
      </c>
      <c r="Y68" s="41">
        <f t="shared" si="77"/>
        <v>0</v>
      </c>
      <c r="Z68" s="80">
        <f t="shared" si="78"/>
        <v>9.75</v>
      </c>
      <c r="AA68" s="42">
        <f t="shared" ref="AA68:AA97" si="90">IF(AB68=AB67,AA67+1,1)</f>
        <v>39</v>
      </c>
      <c r="AB68" s="42">
        <v>2</v>
      </c>
      <c r="AC68" s="43" t="str">
        <f t="shared" si="55"/>
        <v>Study</v>
      </c>
      <c r="AD68" s="43"/>
      <c r="AE68" s="43" t="str">
        <f t="shared" si="79"/>
        <v>Study</v>
      </c>
      <c r="AF68" s="41">
        <f t="shared" si="80"/>
        <v>0</v>
      </c>
      <c r="AG68" s="80">
        <f t="shared" si="81"/>
        <v>9.75</v>
      </c>
      <c r="AH68" s="42">
        <f t="shared" ref="AH68:AH97" si="91">IF(AI68=AI67,AH67+1,1)</f>
        <v>39</v>
      </c>
      <c r="AI68" s="42">
        <v>2</v>
      </c>
      <c r="AJ68" s="43" t="str">
        <f t="shared" si="56"/>
        <v>Study</v>
      </c>
      <c r="AK68" s="43"/>
      <c r="AL68" s="43" t="str">
        <f t="shared" si="57"/>
        <v>Study</v>
      </c>
      <c r="AM68" s="41">
        <f t="shared" si="82"/>
        <v>0</v>
      </c>
      <c r="AN68" s="80">
        <f t="shared" si="83"/>
        <v>9.75</v>
      </c>
      <c r="AO68" s="42">
        <f t="shared" ref="AO68:AO97" si="92">IF(AP68=AP67,AO67+1,1)</f>
        <v>39</v>
      </c>
      <c r="AP68" s="42">
        <v>2</v>
      </c>
      <c r="AQ68" s="43" t="str">
        <f t="shared" si="58"/>
        <v>Study</v>
      </c>
      <c r="AR68" s="43"/>
      <c r="AS68" s="43" t="str">
        <f t="shared" si="84"/>
        <v>Study</v>
      </c>
      <c r="AT68" s="41">
        <f t="shared" si="85"/>
        <v>0</v>
      </c>
      <c r="AU68" s="80">
        <f t="shared" si="86"/>
        <v>9.75</v>
      </c>
      <c r="AV68" s="42">
        <f t="shared" ref="AV68:AV97" si="93">IF(AW68=AW67,AV67+1,1)</f>
        <v>39</v>
      </c>
      <c r="AW68" s="42">
        <v>2</v>
      </c>
      <c r="AX68" s="43" t="str">
        <f t="shared" si="59"/>
        <v>Study</v>
      </c>
      <c r="AY68" s="43"/>
      <c r="AZ68" s="43" t="str">
        <f t="shared" si="87"/>
        <v>Study</v>
      </c>
      <c r="BA68" s="45">
        <f t="shared" si="60"/>
        <v>0</v>
      </c>
      <c r="BB68" s="45">
        <f t="shared" si="61"/>
        <v>9.75</v>
      </c>
      <c r="BC68" s="45">
        <f t="shared" si="62"/>
        <v>39</v>
      </c>
      <c r="BD68" s="45">
        <f t="shared" si="63"/>
        <v>2</v>
      </c>
      <c r="BE68" s="45" t="str">
        <f t="shared" si="64"/>
        <v>Study</v>
      </c>
      <c r="BF68" s="45">
        <f t="shared" si="65"/>
        <v>0</v>
      </c>
      <c r="BG68" s="46" t="str">
        <f t="shared" si="66"/>
        <v>Study</v>
      </c>
    </row>
    <row r="69" spans="1:59" s="38" customFormat="1" ht="24">
      <c r="A69" s="56"/>
      <c r="B69" s="57"/>
      <c r="C69" s="47">
        <v>0.69791666666666696</v>
      </c>
      <c r="D69" s="48">
        <f t="shared" si="67"/>
        <v>0</v>
      </c>
      <c r="E69" s="83">
        <f t="shared" si="68"/>
        <v>10</v>
      </c>
      <c r="F69" s="49">
        <f t="shared" si="69"/>
        <v>40</v>
      </c>
      <c r="G69" s="49">
        <v>2</v>
      </c>
      <c r="H69" s="50" t="str">
        <f t="shared" si="53"/>
        <v>Study</v>
      </c>
      <c r="I69" s="50"/>
      <c r="J69" s="50" t="str">
        <f t="shared" si="70"/>
        <v>Study</v>
      </c>
      <c r="K69" s="48">
        <f t="shared" si="71"/>
        <v>0</v>
      </c>
      <c r="L69" s="81">
        <f t="shared" si="72"/>
        <v>10</v>
      </c>
      <c r="M69" s="49">
        <f t="shared" si="88"/>
        <v>40</v>
      </c>
      <c r="N69" s="49">
        <v>2</v>
      </c>
      <c r="O69" s="50" t="str">
        <f t="shared" si="52"/>
        <v>Study</v>
      </c>
      <c r="P69" s="50"/>
      <c r="Q69" s="50" t="str">
        <f t="shared" si="73"/>
        <v>Study</v>
      </c>
      <c r="R69" s="48">
        <f t="shared" si="74"/>
        <v>0</v>
      </c>
      <c r="S69" s="81">
        <f t="shared" si="75"/>
        <v>10</v>
      </c>
      <c r="T69" s="49">
        <f t="shared" si="89"/>
        <v>40</v>
      </c>
      <c r="U69" s="49">
        <v>2</v>
      </c>
      <c r="V69" s="50" t="str">
        <f t="shared" si="54"/>
        <v>Study</v>
      </c>
      <c r="W69" s="50"/>
      <c r="X69" s="50" t="str">
        <f t="shared" si="76"/>
        <v>Study</v>
      </c>
      <c r="Y69" s="48">
        <f t="shared" si="77"/>
        <v>0</v>
      </c>
      <c r="Z69" s="81">
        <f t="shared" si="78"/>
        <v>10</v>
      </c>
      <c r="AA69" s="49">
        <f t="shared" si="90"/>
        <v>40</v>
      </c>
      <c r="AB69" s="49">
        <v>2</v>
      </c>
      <c r="AC69" s="50" t="str">
        <f t="shared" si="55"/>
        <v>Study</v>
      </c>
      <c r="AD69" s="50"/>
      <c r="AE69" s="50" t="str">
        <f t="shared" si="79"/>
        <v>Study</v>
      </c>
      <c r="AF69" s="48">
        <f t="shared" si="80"/>
        <v>0</v>
      </c>
      <c r="AG69" s="81">
        <f t="shared" si="81"/>
        <v>10</v>
      </c>
      <c r="AH69" s="49">
        <f t="shared" si="91"/>
        <v>40</v>
      </c>
      <c r="AI69" s="49">
        <v>2</v>
      </c>
      <c r="AJ69" s="50" t="str">
        <f t="shared" si="56"/>
        <v>Study</v>
      </c>
      <c r="AK69" s="50"/>
      <c r="AL69" s="50" t="str">
        <f t="shared" si="57"/>
        <v>Study</v>
      </c>
      <c r="AM69" s="48">
        <f t="shared" si="82"/>
        <v>0</v>
      </c>
      <c r="AN69" s="81">
        <f t="shared" si="83"/>
        <v>10</v>
      </c>
      <c r="AO69" s="49">
        <f t="shared" si="92"/>
        <v>40</v>
      </c>
      <c r="AP69" s="49">
        <v>2</v>
      </c>
      <c r="AQ69" s="50" t="str">
        <f t="shared" si="58"/>
        <v>Study</v>
      </c>
      <c r="AR69" s="50"/>
      <c r="AS69" s="50" t="str">
        <f t="shared" si="84"/>
        <v>Study</v>
      </c>
      <c r="AT69" s="48">
        <f t="shared" si="85"/>
        <v>0</v>
      </c>
      <c r="AU69" s="81">
        <f t="shared" si="86"/>
        <v>10</v>
      </c>
      <c r="AV69" s="49">
        <f t="shared" si="93"/>
        <v>40</v>
      </c>
      <c r="AW69" s="49">
        <v>2</v>
      </c>
      <c r="AX69" s="50" t="str">
        <f t="shared" si="59"/>
        <v>Study</v>
      </c>
      <c r="AY69" s="50"/>
      <c r="AZ69" s="50" t="str">
        <f t="shared" si="87"/>
        <v>Study</v>
      </c>
      <c r="BA69" s="45">
        <f t="shared" si="60"/>
        <v>0</v>
      </c>
      <c r="BB69" s="45">
        <f t="shared" si="61"/>
        <v>10</v>
      </c>
      <c r="BC69" s="45">
        <f t="shared" si="62"/>
        <v>40</v>
      </c>
      <c r="BD69" s="45">
        <f t="shared" si="63"/>
        <v>2</v>
      </c>
      <c r="BE69" s="45" t="str">
        <f t="shared" si="64"/>
        <v>Study</v>
      </c>
      <c r="BF69" s="45">
        <f t="shared" si="65"/>
        <v>0</v>
      </c>
      <c r="BG69" s="46" t="str">
        <f t="shared" si="66"/>
        <v>Study</v>
      </c>
    </row>
    <row r="70" spans="1:59" s="38" customFormat="1" ht="24">
      <c r="A70" s="56"/>
      <c r="B70" s="57"/>
      <c r="C70" s="51">
        <v>0.70833333333333304</v>
      </c>
      <c r="D70" s="41">
        <f t="shared" si="67"/>
        <v>0</v>
      </c>
      <c r="E70" s="86">
        <f t="shared" si="68"/>
        <v>10.25</v>
      </c>
      <c r="F70" s="42">
        <f t="shared" si="69"/>
        <v>41</v>
      </c>
      <c r="G70" s="42">
        <v>2</v>
      </c>
      <c r="H70" s="43" t="str">
        <f t="shared" si="53"/>
        <v>Study</v>
      </c>
      <c r="I70" s="43"/>
      <c r="J70" s="43" t="str">
        <f t="shared" si="70"/>
        <v>Study</v>
      </c>
      <c r="K70" s="41">
        <f t="shared" si="71"/>
        <v>0</v>
      </c>
      <c r="L70" s="80">
        <f t="shared" si="72"/>
        <v>10.25</v>
      </c>
      <c r="M70" s="42">
        <f t="shared" si="88"/>
        <v>41</v>
      </c>
      <c r="N70" s="42">
        <v>2</v>
      </c>
      <c r="O70" s="43" t="str">
        <f t="shared" si="52"/>
        <v>Study</v>
      </c>
      <c r="P70" s="43"/>
      <c r="Q70" s="43" t="str">
        <f t="shared" si="73"/>
        <v>Study</v>
      </c>
      <c r="R70" s="41">
        <f t="shared" si="74"/>
        <v>0</v>
      </c>
      <c r="S70" s="80">
        <f t="shared" si="75"/>
        <v>10.25</v>
      </c>
      <c r="T70" s="42">
        <f t="shared" si="89"/>
        <v>41</v>
      </c>
      <c r="U70" s="42">
        <v>2</v>
      </c>
      <c r="V70" s="43" t="str">
        <f t="shared" si="54"/>
        <v>Study</v>
      </c>
      <c r="W70" s="43"/>
      <c r="X70" s="43" t="str">
        <f t="shared" si="76"/>
        <v>Study</v>
      </c>
      <c r="Y70" s="41">
        <f t="shared" si="77"/>
        <v>0</v>
      </c>
      <c r="Z70" s="80">
        <f t="shared" si="78"/>
        <v>10.25</v>
      </c>
      <c r="AA70" s="42">
        <f t="shared" si="90"/>
        <v>41</v>
      </c>
      <c r="AB70" s="42">
        <v>2</v>
      </c>
      <c r="AC70" s="43" t="str">
        <f t="shared" si="55"/>
        <v>Study</v>
      </c>
      <c r="AD70" s="43"/>
      <c r="AE70" s="43" t="str">
        <f t="shared" si="79"/>
        <v>Study</v>
      </c>
      <c r="AF70" s="41">
        <f t="shared" si="80"/>
        <v>0</v>
      </c>
      <c r="AG70" s="80">
        <f t="shared" si="81"/>
        <v>10.25</v>
      </c>
      <c r="AH70" s="42">
        <f t="shared" si="91"/>
        <v>41</v>
      </c>
      <c r="AI70" s="42">
        <v>2</v>
      </c>
      <c r="AJ70" s="43" t="str">
        <f t="shared" si="56"/>
        <v>Study</v>
      </c>
      <c r="AK70" s="43"/>
      <c r="AL70" s="43" t="str">
        <f t="shared" si="57"/>
        <v>Study</v>
      </c>
      <c r="AM70" s="41">
        <f t="shared" si="82"/>
        <v>0</v>
      </c>
      <c r="AN70" s="80">
        <f t="shared" si="83"/>
        <v>10.25</v>
      </c>
      <c r="AO70" s="42">
        <f t="shared" si="92"/>
        <v>41</v>
      </c>
      <c r="AP70" s="42">
        <v>2</v>
      </c>
      <c r="AQ70" s="43" t="str">
        <f t="shared" si="58"/>
        <v>Study</v>
      </c>
      <c r="AR70" s="43"/>
      <c r="AS70" s="43" t="str">
        <f t="shared" si="84"/>
        <v>Study</v>
      </c>
      <c r="AT70" s="41">
        <f t="shared" si="85"/>
        <v>0</v>
      </c>
      <c r="AU70" s="80">
        <f t="shared" si="86"/>
        <v>10.25</v>
      </c>
      <c r="AV70" s="42">
        <f t="shared" si="93"/>
        <v>41</v>
      </c>
      <c r="AW70" s="42">
        <v>2</v>
      </c>
      <c r="AX70" s="43" t="str">
        <f t="shared" si="59"/>
        <v>Study</v>
      </c>
      <c r="AY70" s="43"/>
      <c r="AZ70" s="43" t="str">
        <f t="shared" si="87"/>
        <v>Study</v>
      </c>
      <c r="BA70" s="45">
        <f t="shared" si="60"/>
        <v>0</v>
      </c>
      <c r="BB70" s="45">
        <f t="shared" si="61"/>
        <v>10.25</v>
      </c>
      <c r="BC70" s="45">
        <f t="shared" si="62"/>
        <v>41</v>
      </c>
      <c r="BD70" s="45">
        <f t="shared" si="63"/>
        <v>2</v>
      </c>
      <c r="BE70" s="45" t="str">
        <f t="shared" si="64"/>
        <v>Study</v>
      </c>
      <c r="BF70" s="45">
        <f t="shared" si="65"/>
        <v>0</v>
      </c>
      <c r="BG70" s="46" t="str">
        <f t="shared" si="66"/>
        <v>Study</v>
      </c>
    </row>
    <row r="71" spans="1:59" s="38" customFormat="1" ht="24">
      <c r="A71" s="56"/>
      <c r="B71" s="57"/>
      <c r="C71" s="47">
        <v>0.71875</v>
      </c>
      <c r="D71" s="48">
        <f t="shared" si="67"/>
        <v>0</v>
      </c>
      <c r="E71" s="83">
        <f t="shared" si="68"/>
        <v>10.5</v>
      </c>
      <c r="F71" s="49">
        <f t="shared" si="69"/>
        <v>42</v>
      </c>
      <c r="G71" s="49">
        <v>2</v>
      </c>
      <c r="H71" s="50" t="str">
        <f t="shared" si="53"/>
        <v>Study</v>
      </c>
      <c r="I71" s="50"/>
      <c r="J71" s="50" t="str">
        <f t="shared" si="70"/>
        <v>Study</v>
      </c>
      <c r="K71" s="48">
        <f t="shared" si="71"/>
        <v>0</v>
      </c>
      <c r="L71" s="81">
        <f t="shared" si="72"/>
        <v>10.5</v>
      </c>
      <c r="M71" s="49">
        <f t="shared" si="88"/>
        <v>42</v>
      </c>
      <c r="N71" s="49">
        <v>2</v>
      </c>
      <c r="O71" s="50" t="str">
        <f t="shared" si="52"/>
        <v>Study</v>
      </c>
      <c r="P71" s="50"/>
      <c r="Q71" s="50" t="str">
        <f t="shared" si="73"/>
        <v>Study</v>
      </c>
      <c r="R71" s="48">
        <f t="shared" si="74"/>
        <v>0</v>
      </c>
      <c r="S71" s="81">
        <f t="shared" si="75"/>
        <v>10.5</v>
      </c>
      <c r="T71" s="49">
        <f t="shared" si="89"/>
        <v>42</v>
      </c>
      <c r="U71" s="49">
        <v>2</v>
      </c>
      <c r="V71" s="50" t="str">
        <f t="shared" si="54"/>
        <v>Study</v>
      </c>
      <c r="W71" s="50"/>
      <c r="X71" s="50" t="str">
        <f t="shared" si="76"/>
        <v>Study</v>
      </c>
      <c r="Y71" s="48">
        <f t="shared" si="77"/>
        <v>0</v>
      </c>
      <c r="Z71" s="81">
        <f t="shared" si="78"/>
        <v>10.5</v>
      </c>
      <c r="AA71" s="49">
        <f t="shared" si="90"/>
        <v>42</v>
      </c>
      <c r="AB71" s="49">
        <v>2</v>
      </c>
      <c r="AC71" s="50" t="str">
        <f t="shared" si="55"/>
        <v>Study</v>
      </c>
      <c r="AD71" s="50"/>
      <c r="AE71" s="50" t="str">
        <f t="shared" si="79"/>
        <v>Study</v>
      </c>
      <c r="AF71" s="48">
        <f t="shared" si="80"/>
        <v>0</v>
      </c>
      <c r="AG71" s="81">
        <f t="shared" si="81"/>
        <v>10.5</v>
      </c>
      <c r="AH71" s="49">
        <f t="shared" si="91"/>
        <v>42</v>
      </c>
      <c r="AI71" s="49">
        <v>2</v>
      </c>
      <c r="AJ71" s="50" t="str">
        <f t="shared" si="56"/>
        <v>Study</v>
      </c>
      <c r="AK71" s="50"/>
      <c r="AL71" s="50" t="str">
        <f t="shared" si="57"/>
        <v>Study</v>
      </c>
      <c r="AM71" s="48">
        <f t="shared" si="82"/>
        <v>0</v>
      </c>
      <c r="AN71" s="81">
        <f t="shared" si="83"/>
        <v>10.5</v>
      </c>
      <c r="AO71" s="49">
        <f t="shared" si="92"/>
        <v>42</v>
      </c>
      <c r="AP71" s="49">
        <v>2</v>
      </c>
      <c r="AQ71" s="50" t="str">
        <f t="shared" si="58"/>
        <v>Study</v>
      </c>
      <c r="AR71" s="50"/>
      <c r="AS71" s="50" t="str">
        <f t="shared" si="84"/>
        <v>Study</v>
      </c>
      <c r="AT71" s="48">
        <f t="shared" si="85"/>
        <v>0</v>
      </c>
      <c r="AU71" s="81">
        <f t="shared" si="86"/>
        <v>10.5</v>
      </c>
      <c r="AV71" s="49">
        <f t="shared" si="93"/>
        <v>42</v>
      </c>
      <c r="AW71" s="49">
        <v>2</v>
      </c>
      <c r="AX71" s="50" t="str">
        <f t="shared" si="59"/>
        <v>Study</v>
      </c>
      <c r="AY71" s="50"/>
      <c r="AZ71" s="50" t="str">
        <f t="shared" si="87"/>
        <v>Study</v>
      </c>
      <c r="BA71" s="45">
        <f t="shared" si="60"/>
        <v>0</v>
      </c>
      <c r="BB71" s="45">
        <f t="shared" si="61"/>
        <v>10.5</v>
      </c>
      <c r="BC71" s="45">
        <f t="shared" si="62"/>
        <v>42</v>
      </c>
      <c r="BD71" s="45">
        <f t="shared" si="63"/>
        <v>2</v>
      </c>
      <c r="BE71" s="45" t="str">
        <f t="shared" si="64"/>
        <v>Study</v>
      </c>
      <c r="BF71" s="45">
        <f t="shared" si="65"/>
        <v>0</v>
      </c>
      <c r="BG71" s="46" t="str">
        <f t="shared" si="66"/>
        <v>Study</v>
      </c>
    </row>
    <row r="72" spans="1:59" s="38" customFormat="1" ht="24">
      <c r="A72" s="56"/>
      <c r="B72" s="57"/>
      <c r="C72" s="51">
        <v>0.72916666666666696</v>
      </c>
      <c r="D72" s="41">
        <f t="shared" si="67"/>
        <v>0</v>
      </c>
      <c r="E72" s="86">
        <f t="shared" si="68"/>
        <v>10.75</v>
      </c>
      <c r="F72" s="41">
        <f t="shared" si="69"/>
        <v>43</v>
      </c>
      <c r="G72" s="42">
        <v>2</v>
      </c>
      <c r="H72" s="43" t="str">
        <f t="shared" si="53"/>
        <v>Study</v>
      </c>
      <c r="I72" s="43"/>
      <c r="J72" s="43" t="str">
        <f t="shared" si="70"/>
        <v>Study</v>
      </c>
      <c r="K72" s="41">
        <f t="shared" si="71"/>
        <v>0</v>
      </c>
      <c r="L72" s="80">
        <f t="shared" si="72"/>
        <v>10.75</v>
      </c>
      <c r="M72" s="41">
        <f t="shared" si="88"/>
        <v>43</v>
      </c>
      <c r="N72" s="42">
        <v>2</v>
      </c>
      <c r="O72" s="43" t="str">
        <f t="shared" si="52"/>
        <v>Study</v>
      </c>
      <c r="P72" s="43"/>
      <c r="Q72" s="43" t="str">
        <f t="shared" si="73"/>
        <v>Study</v>
      </c>
      <c r="R72" s="41">
        <f t="shared" si="74"/>
        <v>0</v>
      </c>
      <c r="S72" s="80">
        <f t="shared" si="75"/>
        <v>10.75</v>
      </c>
      <c r="T72" s="41">
        <f t="shared" si="89"/>
        <v>43</v>
      </c>
      <c r="U72" s="42">
        <v>2</v>
      </c>
      <c r="V72" s="43" t="str">
        <f t="shared" si="54"/>
        <v>Study</v>
      </c>
      <c r="W72" s="43"/>
      <c r="X72" s="43" t="str">
        <f t="shared" si="76"/>
        <v>Study</v>
      </c>
      <c r="Y72" s="41">
        <f t="shared" si="77"/>
        <v>0</v>
      </c>
      <c r="Z72" s="80">
        <f t="shared" si="78"/>
        <v>10.75</v>
      </c>
      <c r="AA72" s="41">
        <f t="shared" si="90"/>
        <v>43</v>
      </c>
      <c r="AB72" s="42">
        <v>2</v>
      </c>
      <c r="AC72" s="43" t="str">
        <f t="shared" si="55"/>
        <v>Study</v>
      </c>
      <c r="AD72" s="43"/>
      <c r="AE72" s="43" t="str">
        <f t="shared" si="79"/>
        <v>Study</v>
      </c>
      <c r="AF72" s="41">
        <f t="shared" si="80"/>
        <v>0</v>
      </c>
      <c r="AG72" s="80">
        <f t="shared" si="81"/>
        <v>10.75</v>
      </c>
      <c r="AH72" s="41">
        <f t="shared" si="91"/>
        <v>43</v>
      </c>
      <c r="AI72" s="42">
        <v>2</v>
      </c>
      <c r="AJ72" s="43" t="str">
        <f t="shared" si="56"/>
        <v>Study</v>
      </c>
      <c r="AK72" s="43"/>
      <c r="AL72" s="43" t="str">
        <f t="shared" si="57"/>
        <v>Study</v>
      </c>
      <c r="AM72" s="41">
        <f t="shared" si="82"/>
        <v>0</v>
      </c>
      <c r="AN72" s="80">
        <f t="shared" si="83"/>
        <v>10.75</v>
      </c>
      <c r="AO72" s="41">
        <f t="shared" si="92"/>
        <v>43</v>
      </c>
      <c r="AP72" s="42">
        <v>2</v>
      </c>
      <c r="AQ72" s="43" t="str">
        <f t="shared" si="58"/>
        <v>Study</v>
      </c>
      <c r="AR72" s="43"/>
      <c r="AS72" s="43" t="str">
        <f t="shared" si="84"/>
        <v>Study</v>
      </c>
      <c r="AT72" s="41">
        <f t="shared" si="85"/>
        <v>0</v>
      </c>
      <c r="AU72" s="80">
        <f t="shared" si="86"/>
        <v>10.75</v>
      </c>
      <c r="AV72" s="41">
        <f t="shared" si="93"/>
        <v>43</v>
      </c>
      <c r="AW72" s="42">
        <v>2</v>
      </c>
      <c r="AX72" s="43" t="str">
        <f t="shared" si="59"/>
        <v>Study</v>
      </c>
      <c r="AY72" s="43"/>
      <c r="AZ72" s="43" t="str">
        <f t="shared" si="87"/>
        <v>Study</v>
      </c>
      <c r="BA72" s="45">
        <f t="shared" si="60"/>
        <v>0</v>
      </c>
      <c r="BB72" s="45">
        <f t="shared" si="61"/>
        <v>10.75</v>
      </c>
      <c r="BC72" s="45">
        <f t="shared" si="62"/>
        <v>43</v>
      </c>
      <c r="BD72" s="45">
        <f t="shared" si="63"/>
        <v>2</v>
      </c>
      <c r="BE72" s="45" t="str">
        <f t="shared" si="64"/>
        <v>Study</v>
      </c>
      <c r="BF72" s="45">
        <f t="shared" si="65"/>
        <v>0</v>
      </c>
      <c r="BG72" s="46" t="str">
        <f t="shared" si="66"/>
        <v>Study</v>
      </c>
    </row>
    <row r="73" spans="1:59" s="38" customFormat="1" ht="24">
      <c r="A73" s="56"/>
      <c r="B73" s="57"/>
      <c r="C73" s="47">
        <v>0.73958333333333304</v>
      </c>
      <c r="D73" s="48">
        <f t="shared" si="67"/>
        <v>0</v>
      </c>
      <c r="E73" s="83">
        <f t="shared" si="68"/>
        <v>11</v>
      </c>
      <c r="F73" s="48">
        <f t="shared" si="69"/>
        <v>44</v>
      </c>
      <c r="G73" s="49">
        <v>2</v>
      </c>
      <c r="H73" s="50" t="str">
        <f t="shared" si="53"/>
        <v>Study</v>
      </c>
      <c r="I73" s="50"/>
      <c r="J73" s="50" t="str">
        <f t="shared" si="70"/>
        <v>Study</v>
      </c>
      <c r="K73" s="48">
        <f t="shared" si="71"/>
        <v>0</v>
      </c>
      <c r="L73" s="81">
        <f t="shared" si="72"/>
        <v>11</v>
      </c>
      <c r="M73" s="48">
        <f t="shared" si="88"/>
        <v>44</v>
      </c>
      <c r="N73" s="49">
        <v>2</v>
      </c>
      <c r="O73" s="50" t="str">
        <f t="shared" si="52"/>
        <v>Study</v>
      </c>
      <c r="P73" s="50"/>
      <c r="Q73" s="50" t="str">
        <f t="shared" si="73"/>
        <v>Study</v>
      </c>
      <c r="R73" s="48">
        <f t="shared" si="74"/>
        <v>0</v>
      </c>
      <c r="S73" s="81">
        <f t="shared" si="75"/>
        <v>11</v>
      </c>
      <c r="T73" s="48">
        <f t="shared" si="89"/>
        <v>44</v>
      </c>
      <c r="U73" s="49">
        <v>2</v>
      </c>
      <c r="V73" s="50" t="str">
        <f t="shared" si="54"/>
        <v>Study</v>
      </c>
      <c r="W73" s="50"/>
      <c r="X73" s="50" t="str">
        <f t="shared" si="76"/>
        <v>Study</v>
      </c>
      <c r="Y73" s="48">
        <f t="shared" si="77"/>
        <v>0</v>
      </c>
      <c r="Z73" s="81">
        <f t="shared" si="78"/>
        <v>11</v>
      </c>
      <c r="AA73" s="48">
        <f t="shared" si="90"/>
        <v>44</v>
      </c>
      <c r="AB73" s="49">
        <v>2</v>
      </c>
      <c r="AC73" s="50" t="str">
        <f t="shared" si="55"/>
        <v>Study</v>
      </c>
      <c r="AD73" s="50"/>
      <c r="AE73" s="50" t="str">
        <f t="shared" si="79"/>
        <v>Study</v>
      </c>
      <c r="AF73" s="48">
        <f t="shared" si="80"/>
        <v>0</v>
      </c>
      <c r="AG73" s="81">
        <f t="shared" si="81"/>
        <v>11</v>
      </c>
      <c r="AH73" s="48">
        <f t="shared" si="91"/>
        <v>44</v>
      </c>
      <c r="AI73" s="49">
        <v>2</v>
      </c>
      <c r="AJ73" s="50" t="str">
        <f t="shared" si="56"/>
        <v>Study</v>
      </c>
      <c r="AK73" s="50"/>
      <c r="AL73" s="50" t="str">
        <f t="shared" si="57"/>
        <v>Study</v>
      </c>
      <c r="AM73" s="48">
        <f t="shared" si="82"/>
        <v>0</v>
      </c>
      <c r="AN73" s="81">
        <f t="shared" si="83"/>
        <v>11</v>
      </c>
      <c r="AO73" s="48">
        <f t="shared" si="92"/>
        <v>44</v>
      </c>
      <c r="AP73" s="49">
        <v>2</v>
      </c>
      <c r="AQ73" s="50" t="str">
        <f t="shared" si="58"/>
        <v>Study</v>
      </c>
      <c r="AR73" s="50"/>
      <c r="AS73" s="50" t="str">
        <f t="shared" si="84"/>
        <v>Study</v>
      </c>
      <c r="AT73" s="48">
        <f t="shared" si="85"/>
        <v>0</v>
      </c>
      <c r="AU73" s="81">
        <f t="shared" si="86"/>
        <v>11</v>
      </c>
      <c r="AV73" s="48">
        <f t="shared" si="93"/>
        <v>44</v>
      </c>
      <c r="AW73" s="49">
        <v>2</v>
      </c>
      <c r="AX73" s="50" t="str">
        <f t="shared" si="59"/>
        <v>Study</v>
      </c>
      <c r="AY73" s="50"/>
      <c r="AZ73" s="50" t="str">
        <f t="shared" si="87"/>
        <v>Study</v>
      </c>
      <c r="BA73" s="45">
        <f t="shared" si="60"/>
        <v>0</v>
      </c>
      <c r="BB73" s="45">
        <f t="shared" si="61"/>
        <v>11</v>
      </c>
      <c r="BC73" s="45">
        <f t="shared" si="62"/>
        <v>44</v>
      </c>
      <c r="BD73" s="45">
        <f t="shared" si="63"/>
        <v>2</v>
      </c>
      <c r="BE73" s="45" t="str">
        <f t="shared" si="64"/>
        <v>Study</v>
      </c>
      <c r="BF73" s="45">
        <f t="shared" si="65"/>
        <v>0</v>
      </c>
      <c r="BG73" s="46" t="str">
        <f t="shared" si="66"/>
        <v>Study</v>
      </c>
    </row>
    <row r="74" spans="1:59" s="38" customFormat="1" ht="24">
      <c r="A74" s="56"/>
      <c r="B74" s="57"/>
      <c r="C74" s="51">
        <v>0.75</v>
      </c>
      <c r="D74" s="41">
        <f t="shared" si="67"/>
        <v>0</v>
      </c>
      <c r="E74" s="86">
        <f t="shared" si="68"/>
        <v>11.25</v>
      </c>
      <c r="F74" s="41">
        <f t="shared" si="69"/>
        <v>45</v>
      </c>
      <c r="G74" s="42">
        <v>2</v>
      </c>
      <c r="H74" s="43" t="str">
        <f t="shared" si="53"/>
        <v>Study</v>
      </c>
      <c r="I74" s="43"/>
      <c r="J74" s="43" t="str">
        <f t="shared" si="70"/>
        <v>Study</v>
      </c>
      <c r="K74" s="41">
        <f t="shared" si="71"/>
        <v>0</v>
      </c>
      <c r="L74" s="80">
        <f t="shared" si="72"/>
        <v>11.25</v>
      </c>
      <c r="M74" s="41">
        <f t="shared" si="88"/>
        <v>45</v>
      </c>
      <c r="N74" s="42">
        <v>2</v>
      </c>
      <c r="O74" s="43" t="str">
        <f t="shared" ref="O74:O97" si="94">LOOKUP(N74,index,indexname)</f>
        <v>Study</v>
      </c>
      <c r="P74" s="43"/>
      <c r="Q74" s="43" t="str">
        <f t="shared" si="73"/>
        <v>Study</v>
      </c>
      <c r="R74" s="41">
        <f t="shared" si="74"/>
        <v>0</v>
      </c>
      <c r="S74" s="80">
        <f t="shared" si="75"/>
        <v>11.25</v>
      </c>
      <c r="T74" s="41">
        <f t="shared" si="89"/>
        <v>45</v>
      </c>
      <c r="U74" s="42">
        <v>2</v>
      </c>
      <c r="V74" s="43" t="str">
        <f t="shared" si="54"/>
        <v>Study</v>
      </c>
      <c r="W74" s="43"/>
      <c r="X74" s="43" t="str">
        <f t="shared" si="76"/>
        <v>Study</v>
      </c>
      <c r="Y74" s="41">
        <f t="shared" si="77"/>
        <v>0</v>
      </c>
      <c r="Z74" s="80">
        <f t="shared" si="78"/>
        <v>11.25</v>
      </c>
      <c r="AA74" s="41">
        <f t="shared" si="90"/>
        <v>45</v>
      </c>
      <c r="AB74" s="42">
        <v>2</v>
      </c>
      <c r="AC74" s="43" t="str">
        <f t="shared" si="55"/>
        <v>Study</v>
      </c>
      <c r="AD74" s="43"/>
      <c r="AE74" s="43" t="str">
        <f t="shared" si="79"/>
        <v>Study</v>
      </c>
      <c r="AF74" s="41">
        <f t="shared" si="80"/>
        <v>0</v>
      </c>
      <c r="AG74" s="80">
        <f t="shared" si="81"/>
        <v>11.25</v>
      </c>
      <c r="AH74" s="41">
        <f t="shared" si="91"/>
        <v>45</v>
      </c>
      <c r="AI74" s="42">
        <v>2</v>
      </c>
      <c r="AJ74" s="43" t="str">
        <f t="shared" si="56"/>
        <v>Study</v>
      </c>
      <c r="AK74" s="43"/>
      <c r="AL74" s="43" t="str">
        <f t="shared" si="57"/>
        <v>Study</v>
      </c>
      <c r="AM74" s="41">
        <f t="shared" si="82"/>
        <v>0</v>
      </c>
      <c r="AN74" s="80">
        <f t="shared" si="83"/>
        <v>11.25</v>
      </c>
      <c r="AO74" s="41">
        <f t="shared" si="92"/>
        <v>45</v>
      </c>
      <c r="AP74" s="42">
        <v>2</v>
      </c>
      <c r="AQ74" s="43" t="str">
        <f t="shared" si="58"/>
        <v>Study</v>
      </c>
      <c r="AR74" s="43"/>
      <c r="AS74" s="43" t="str">
        <f t="shared" si="84"/>
        <v>Study</v>
      </c>
      <c r="AT74" s="41">
        <f t="shared" si="85"/>
        <v>0</v>
      </c>
      <c r="AU74" s="80">
        <f t="shared" si="86"/>
        <v>11.25</v>
      </c>
      <c r="AV74" s="41">
        <f t="shared" si="93"/>
        <v>45</v>
      </c>
      <c r="AW74" s="42">
        <v>2</v>
      </c>
      <c r="AX74" s="43" t="str">
        <f t="shared" si="59"/>
        <v>Study</v>
      </c>
      <c r="AY74" s="43"/>
      <c r="AZ74" s="43" t="str">
        <f t="shared" si="87"/>
        <v>Study</v>
      </c>
      <c r="BA74" s="45">
        <f t="shared" si="60"/>
        <v>0</v>
      </c>
      <c r="BB74" s="45">
        <f t="shared" si="61"/>
        <v>11.25</v>
      </c>
      <c r="BC74" s="45">
        <f t="shared" si="62"/>
        <v>45</v>
      </c>
      <c r="BD74" s="45">
        <f t="shared" si="63"/>
        <v>2</v>
      </c>
      <c r="BE74" s="45" t="str">
        <f t="shared" si="64"/>
        <v>Study</v>
      </c>
      <c r="BF74" s="45">
        <f t="shared" si="65"/>
        <v>0</v>
      </c>
      <c r="BG74" s="46" t="str">
        <f t="shared" si="66"/>
        <v>Study</v>
      </c>
    </row>
    <row r="75" spans="1:59" s="38" customFormat="1" ht="24">
      <c r="A75" s="56"/>
      <c r="B75" s="57"/>
      <c r="C75" s="47">
        <v>0.76041666666666696</v>
      </c>
      <c r="D75" s="48">
        <f t="shared" si="67"/>
        <v>0</v>
      </c>
      <c r="E75" s="83">
        <f t="shared" si="68"/>
        <v>11.5</v>
      </c>
      <c r="F75" s="48">
        <f t="shared" si="69"/>
        <v>46</v>
      </c>
      <c r="G75" s="49">
        <v>2</v>
      </c>
      <c r="H75" s="50" t="str">
        <f t="shared" si="53"/>
        <v>Study</v>
      </c>
      <c r="I75" s="50"/>
      <c r="J75" s="50" t="str">
        <f t="shared" si="70"/>
        <v>Study</v>
      </c>
      <c r="K75" s="48">
        <f t="shared" si="71"/>
        <v>0</v>
      </c>
      <c r="L75" s="81">
        <f t="shared" si="72"/>
        <v>11.5</v>
      </c>
      <c r="M75" s="48">
        <f t="shared" si="88"/>
        <v>46</v>
      </c>
      <c r="N75" s="49">
        <v>2</v>
      </c>
      <c r="O75" s="50" t="str">
        <f t="shared" si="94"/>
        <v>Study</v>
      </c>
      <c r="P75" s="50"/>
      <c r="Q75" s="50" t="str">
        <f t="shared" si="73"/>
        <v>Study</v>
      </c>
      <c r="R75" s="48">
        <f t="shared" si="74"/>
        <v>0</v>
      </c>
      <c r="S75" s="81">
        <f t="shared" si="75"/>
        <v>11.5</v>
      </c>
      <c r="T75" s="48">
        <f t="shared" si="89"/>
        <v>46</v>
      </c>
      <c r="U75" s="49">
        <v>2</v>
      </c>
      <c r="V75" s="50" t="str">
        <f t="shared" si="54"/>
        <v>Study</v>
      </c>
      <c r="W75" s="50"/>
      <c r="X75" s="50" t="str">
        <f t="shared" si="76"/>
        <v>Study</v>
      </c>
      <c r="Y75" s="48">
        <f t="shared" si="77"/>
        <v>0</v>
      </c>
      <c r="Z75" s="81">
        <f t="shared" si="78"/>
        <v>11.5</v>
      </c>
      <c r="AA75" s="48">
        <f t="shared" si="90"/>
        <v>46</v>
      </c>
      <c r="AB75" s="49">
        <v>2</v>
      </c>
      <c r="AC75" s="50" t="str">
        <f t="shared" si="55"/>
        <v>Study</v>
      </c>
      <c r="AD75" s="50"/>
      <c r="AE75" s="50" t="str">
        <f t="shared" si="79"/>
        <v>Study</v>
      </c>
      <c r="AF75" s="48">
        <f t="shared" si="80"/>
        <v>0</v>
      </c>
      <c r="AG75" s="81">
        <f t="shared" si="81"/>
        <v>11.5</v>
      </c>
      <c r="AH75" s="48">
        <f t="shared" si="91"/>
        <v>46</v>
      </c>
      <c r="AI75" s="49">
        <v>2</v>
      </c>
      <c r="AJ75" s="50" t="str">
        <f t="shared" si="56"/>
        <v>Study</v>
      </c>
      <c r="AK75" s="50"/>
      <c r="AL75" s="50" t="str">
        <f t="shared" si="57"/>
        <v>Study</v>
      </c>
      <c r="AM75" s="48">
        <f t="shared" si="82"/>
        <v>0</v>
      </c>
      <c r="AN75" s="81">
        <f t="shared" si="83"/>
        <v>11.5</v>
      </c>
      <c r="AO75" s="48">
        <f t="shared" si="92"/>
        <v>46</v>
      </c>
      <c r="AP75" s="49">
        <v>2</v>
      </c>
      <c r="AQ75" s="50" t="str">
        <f t="shared" si="58"/>
        <v>Study</v>
      </c>
      <c r="AR75" s="50"/>
      <c r="AS75" s="50" t="str">
        <f t="shared" si="84"/>
        <v>Study</v>
      </c>
      <c r="AT75" s="48">
        <f t="shared" si="85"/>
        <v>0</v>
      </c>
      <c r="AU75" s="81">
        <f t="shared" si="86"/>
        <v>11.5</v>
      </c>
      <c r="AV75" s="48">
        <f t="shared" si="93"/>
        <v>46</v>
      </c>
      <c r="AW75" s="49">
        <v>2</v>
      </c>
      <c r="AX75" s="50" t="str">
        <f t="shared" si="59"/>
        <v>Study</v>
      </c>
      <c r="AY75" s="50"/>
      <c r="AZ75" s="50" t="str">
        <f t="shared" si="87"/>
        <v>Study</v>
      </c>
      <c r="BA75" s="45">
        <f t="shared" si="60"/>
        <v>0</v>
      </c>
      <c r="BB75" s="45">
        <f t="shared" si="61"/>
        <v>11.5</v>
      </c>
      <c r="BC75" s="45">
        <f t="shared" si="62"/>
        <v>46</v>
      </c>
      <c r="BD75" s="45">
        <f t="shared" si="63"/>
        <v>2</v>
      </c>
      <c r="BE75" s="45" t="str">
        <f t="shared" si="64"/>
        <v>Study</v>
      </c>
      <c r="BF75" s="45">
        <f t="shared" si="65"/>
        <v>0</v>
      </c>
      <c r="BG75" s="46" t="str">
        <f t="shared" si="66"/>
        <v>Study</v>
      </c>
    </row>
    <row r="76" spans="1:59" s="38" customFormat="1" ht="24">
      <c r="A76" s="56"/>
      <c r="B76" s="57"/>
      <c r="C76" s="51">
        <v>0.77083333333333304</v>
      </c>
      <c r="D76" s="41">
        <f t="shared" si="67"/>
        <v>0</v>
      </c>
      <c r="E76" s="86">
        <f t="shared" si="68"/>
        <v>11.75</v>
      </c>
      <c r="F76" s="41">
        <f t="shared" si="69"/>
        <v>47</v>
      </c>
      <c r="G76" s="42">
        <v>2</v>
      </c>
      <c r="H76" s="43" t="str">
        <f t="shared" si="53"/>
        <v>Study</v>
      </c>
      <c r="I76" s="43"/>
      <c r="J76" s="43" t="str">
        <f t="shared" si="70"/>
        <v>Study</v>
      </c>
      <c r="K76" s="41">
        <f t="shared" si="71"/>
        <v>0</v>
      </c>
      <c r="L76" s="80">
        <f t="shared" si="72"/>
        <v>11.75</v>
      </c>
      <c r="M76" s="41">
        <f t="shared" si="88"/>
        <v>47</v>
      </c>
      <c r="N76" s="42">
        <v>2</v>
      </c>
      <c r="O76" s="43" t="str">
        <f t="shared" si="94"/>
        <v>Study</v>
      </c>
      <c r="P76" s="43"/>
      <c r="Q76" s="43" t="str">
        <f t="shared" si="73"/>
        <v>Study</v>
      </c>
      <c r="R76" s="41">
        <f t="shared" si="74"/>
        <v>0</v>
      </c>
      <c r="S76" s="80">
        <f t="shared" si="75"/>
        <v>11.75</v>
      </c>
      <c r="T76" s="41">
        <f t="shared" si="89"/>
        <v>47</v>
      </c>
      <c r="U76" s="42">
        <v>2</v>
      </c>
      <c r="V76" s="43" t="str">
        <f t="shared" si="54"/>
        <v>Study</v>
      </c>
      <c r="W76" s="43"/>
      <c r="X76" s="43" t="str">
        <f t="shared" si="76"/>
        <v>Study</v>
      </c>
      <c r="Y76" s="41">
        <f t="shared" si="77"/>
        <v>0</v>
      </c>
      <c r="Z76" s="80">
        <f t="shared" si="78"/>
        <v>11.75</v>
      </c>
      <c r="AA76" s="41">
        <f t="shared" si="90"/>
        <v>47</v>
      </c>
      <c r="AB76" s="42">
        <v>2</v>
      </c>
      <c r="AC76" s="43" t="str">
        <f t="shared" si="55"/>
        <v>Study</v>
      </c>
      <c r="AD76" s="43"/>
      <c r="AE76" s="43" t="str">
        <f t="shared" si="79"/>
        <v>Study</v>
      </c>
      <c r="AF76" s="41">
        <f t="shared" si="80"/>
        <v>0</v>
      </c>
      <c r="AG76" s="80">
        <f t="shared" si="81"/>
        <v>11.75</v>
      </c>
      <c r="AH76" s="41">
        <f t="shared" si="91"/>
        <v>47</v>
      </c>
      <c r="AI76" s="42">
        <v>2</v>
      </c>
      <c r="AJ76" s="43" t="str">
        <f t="shared" si="56"/>
        <v>Study</v>
      </c>
      <c r="AK76" s="43"/>
      <c r="AL76" s="43" t="str">
        <f t="shared" si="57"/>
        <v>Study</v>
      </c>
      <c r="AM76" s="41">
        <f t="shared" si="82"/>
        <v>0</v>
      </c>
      <c r="AN76" s="80">
        <f t="shared" si="83"/>
        <v>11.75</v>
      </c>
      <c r="AO76" s="41">
        <f t="shared" si="92"/>
        <v>47</v>
      </c>
      <c r="AP76" s="42">
        <v>2</v>
      </c>
      <c r="AQ76" s="43" t="str">
        <f t="shared" si="58"/>
        <v>Study</v>
      </c>
      <c r="AR76" s="43"/>
      <c r="AS76" s="43" t="str">
        <f t="shared" si="84"/>
        <v>Study</v>
      </c>
      <c r="AT76" s="41">
        <f t="shared" si="85"/>
        <v>0</v>
      </c>
      <c r="AU76" s="80">
        <f t="shared" si="86"/>
        <v>11.75</v>
      </c>
      <c r="AV76" s="41">
        <f t="shared" si="93"/>
        <v>47</v>
      </c>
      <c r="AW76" s="42">
        <v>2</v>
      </c>
      <c r="AX76" s="43" t="str">
        <f t="shared" si="59"/>
        <v>Study</v>
      </c>
      <c r="AY76" s="43"/>
      <c r="AZ76" s="43" t="str">
        <f t="shared" si="87"/>
        <v>Study</v>
      </c>
      <c r="BA76" s="45">
        <f t="shared" si="60"/>
        <v>0</v>
      </c>
      <c r="BB76" s="45">
        <f t="shared" si="61"/>
        <v>11.75</v>
      </c>
      <c r="BC76" s="45">
        <f t="shared" si="62"/>
        <v>47</v>
      </c>
      <c r="BD76" s="45">
        <f t="shared" si="63"/>
        <v>2</v>
      </c>
      <c r="BE76" s="45" t="str">
        <f t="shared" si="64"/>
        <v>Study</v>
      </c>
      <c r="BF76" s="45">
        <f t="shared" si="65"/>
        <v>0</v>
      </c>
      <c r="BG76" s="46" t="str">
        <f t="shared" si="66"/>
        <v>Study</v>
      </c>
    </row>
    <row r="77" spans="1:59" s="38" customFormat="1" ht="24">
      <c r="A77" s="56"/>
      <c r="B77" s="57"/>
      <c r="C77" s="47">
        <v>0.78125</v>
      </c>
      <c r="D77" s="48">
        <f t="shared" si="67"/>
        <v>0</v>
      </c>
      <c r="E77" s="83">
        <f t="shared" si="68"/>
        <v>12</v>
      </c>
      <c r="F77" s="48">
        <f t="shared" si="69"/>
        <v>48</v>
      </c>
      <c r="G77" s="49">
        <v>2</v>
      </c>
      <c r="H77" s="50" t="str">
        <f t="shared" si="53"/>
        <v>Study</v>
      </c>
      <c r="I77" s="50"/>
      <c r="J77" s="50" t="str">
        <f t="shared" si="70"/>
        <v>Study</v>
      </c>
      <c r="K77" s="48">
        <f t="shared" si="71"/>
        <v>0</v>
      </c>
      <c r="L77" s="81">
        <f t="shared" si="72"/>
        <v>12</v>
      </c>
      <c r="M77" s="48">
        <f t="shared" si="88"/>
        <v>48</v>
      </c>
      <c r="N77" s="49">
        <v>2</v>
      </c>
      <c r="O77" s="50" t="str">
        <f t="shared" si="94"/>
        <v>Study</v>
      </c>
      <c r="P77" s="50"/>
      <c r="Q77" s="50" t="str">
        <f t="shared" si="73"/>
        <v>Study</v>
      </c>
      <c r="R77" s="48">
        <f t="shared" si="74"/>
        <v>0</v>
      </c>
      <c r="S77" s="81">
        <f t="shared" si="75"/>
        <v>12</v>
      </c>
      <c r="T77" s="48">
        <f t="shared" si="89"/>
        <v>48</v>
      </c>
      <c r="U77" s="49">
        <v>2</v>
      </c>
      <c r="V77" s="50" t="str">
        <f t="shared" si="54"/>
        <v>Study</v>
      </c>
      <c r="W77" s="50"/>
      <c r="X77" s="50" t="str">
        <f t="shared" si="76"/>
        <v>Study</v>
      </c>
      <c r="Y77" s="48">
        <f t="shared" si="77"/>
        <v>0</v>
      </c>
      <c r="Z77" s="81">
        <f t="shared" si="78"/>
        <v>12</v>
      </c>
      <c r="AA77" s="48">
        <f t="shared" si="90"/>
        <v>48</v>
      </c>
      <c r="AB77" s="49">
        <v>2</v>
      </c>
      <c r="AC77" s="50" t="str">
        <f t="shared" si="55"/>
        <v>Study</v>
      </c>
      <c r="AD77" s="50"/>
      <c r="AE77" s="50" t="str">
        <f t="shared" si="79"/>
        <v>Study</v>
      </c>
      <c r="AF77" s="48">
        <f t="shared" si="80"/>
        <v>0</v>
      </c>
      <c r="AG77" s="81">
        <f t="shared" si="81"/>
        <v>12</v>
      </c>
      <c r="AH77" s="48">
        <f t="shared" si="91"/>
        <v>48</v>
      </c>
      <c r="AI77" s="49">
        <v>2</v>
      </c>
      <c r="AJ77" s="50" t="str">
        <f t="shared" si="56"/>
        <v>Study</v>
      </c>
      <c r="AK77" s="50"/>
      <c r="AL77" s="50" t="str">
        <f t="shared" si="57"/>
        <v>Study</v>
      </c>
      <c r="AM77" s="48">
        <f t="shared" si="82"/>
        <v>0</v>
      </c>
      <c r="AN77" s="81">
        <f t="shared" si="83"/>
        <v>12</v>
      </c>
      <c r="AO77" s="48">
        <f t="shared" si="92"/>
        <v>48</v>
      </c>
      <c r="AP77" s="49">
        <v>2</v>
      </c>
      <c r="AQ77" s="50" t="str">
        <f t="shared" si="58"/>
        <v>Study</v>
      </c>
      <c r="AR77" s="50"/>
      <c r="AS77" s="50" t="str">
        <f t="shared" si="84"/>
        <v>Study</v>
      </c>
      <c r="AT77" s="48">
        <f t="shared" si="85"/>
        <v>0</v>
      </c>
      <c r="AU77" s="81">
        <f t="shared" si="86"/>
        <v>12</v>
      </c>
      <c r="AV77" s="48">
        <f t="shared" si="93"/>
        <v>48</v>
      </c>
      <c r="AW77" s="49">
        <v>2</v>
      </c>
      <c r="AX77" s="50" t="str">
        <f t="shared" si="59"/>
        <v>Study</v>
      </c>
      <c r="AY77" s="50"/>
      <c r="AZ77" s="50" t="str">
        <f t="shared" si="87"/>
        <v>Study</v>
      </c>
      <c r="BA77" s="45">
        <f t="shared" si="60"/>
        <v>0</v>
      </c>
      <c r="BB77" s="45">
        <f t="shared" si="61"/>
        <v>12</v>
      </c>
      <c r="BC77" s="45">
        <f t="shared" si="62"/>
        <v>48</v>
      </c>
      <c r="BD77" s="45">
        <f t="shared" si="63"/>
        <v>2</v>
      </c>
      <c r="BE77" s="45" t="str">
        <f t="shared" si="64"/>
        <v>Study</v>
      </c>
      <c r="BF77" s="45">
        <f t="shared" si="65"/>
        <v>0</v>
      </c>
      <c r="BG77" s="46" t="str">
        <f t="shared" si="66"/>
        <v>Study</v>
      </c>
    </row>
    <row r="78" spans="1:59" s="38" customFormat="1" ht="24">
      <c r="A78" s="56"/>
      <c r="B78" s="57"/>
      <c r="C78" s="51">
        <v>0.79166666666666696</v>
      </c>
      <c r="D78" s="41">
        <f t="shared" si="67"/>
        <v>78</v>
      </c>
      <c r="E78" s="86">
        <f t="shared" si="68"/>
        <v>12.25</v>
      </c>
      <c r="F78" s="41">
        <f t="shared" si="69"/>
        <v>49</v>
      </c>
      <c r="G78" s="42">
        <v>2</v>
      </c>
      <c r="H78" s="43" t="str">
        <f t="shared" si="53"/>
        <v>Study</v>
      </c>
      <c r="I78" s="43"/>
      <c r="J78" s="43" t="str">
        <f t="shared" si="70"/>
        <v>Study</v>
      </c>
      <c r="K78" s="41">
        <f t="shared" si="71"/>
        <v>78</v>
      </c>
      <c r="L78" s="80">
        <f t="shared" si="72"/>
        <v>12.25</v>
      </c>
      <c r="M78" s="41">
        <f t="shared" si="88"/>
        <v>49</v>
      </c>
      <c r="N78" s="42">
        <v>2</v>
      </c>
      <c r="O78" s="43" t="str">
        <f t="shared" si="94"/>
        <v>Study</v>
      </c>
      <c r="P78" s="43"/>
      <c r="Q78" s="43" t="str">
        <f t="shared" si="73"/>
        <v>Study</v>
      </c>
      <c r="R78" s="41">
        <f t="shared" si="74"/>
        <v>78</v>
      </c>
      <c r="S78" s="80">
        <f t="shared" si="75"/>
        <v>12.25</v>
      </c>
      <c r="T78" s="41">
        <f t="shared" si="89"/>
        <v>49</v>
      </c>
      <c r="U78" s="42">
        <v>2</v>
      </c>
      <c r="V78" s="43" t="str">
        <f t="shared" si="54"/>
        <v>Study</v>
      </c>
      <c r="W78" s="43"/>
      <c r="X78" s="43" t="str">
        <f t="shared" si="76"/>
        <v>Study</v>
      </c>
      <c r="Y78" s="41">
        <f t="shared" si="77"/>
        <v>78</v>
      </c>
      <c r="Z78" s="80">
        <f t="shared" si="78"/>
        <v>12.25</v>
      </c>
      <c r="AA78" s="41">
        <f t="shared" si="90"/>
        <v>49</v>
      </c>
      <c r="AB78" s="42">
        <v>2</v>
      </c>
      <c r="AC78" s="43" t="str">
        <f t="shared" si="55"/>
        <v>Study</v>
      </c>
      <c r="AD78" s="43"/>
      <c r="AE78" s="43" t="str">
        <f t="shared" si="79"/>
        <v>Study</v>
      </c>
      <c r="AF78" s="41">
        <f t="shared" si="80"/>
        <v>78</v>
      </c>
      <c r="AG78" s="80">
        <f t="shared" si="81"/>
        <v>12.25</v>
      </c>
      <c r="AH78" s="41">
        <f t="shared" si="91"/>
        <v>49</v>
      </c>
      <c r="AI78" s="42">
        <v>2</v>
      </c>
      <c r="AJ78" s="43" t="str">
        <f t="shared" si="56"/>
        <v>Study</v>
      </c>
      <c r="AK78" s="43"/>
      <c r="AL78" s="43" t="str">
        <f t="shared" si="57"/>
        <v>Study</v>
      </c>
      <c r="AM78" s="41">
        <f t="shared" si="82"/>
        <v>78</v>
      </c>
      <c r="AN78" s="80">
        <f t="shared" si="83"/>
        <v>12.25</v>
      </c>
      <c r="AO78" s="41">
        <f t="shared" si="92"/>
        <v>49</v>
      </c>
      <c r="AP78" s="42">
        <v>2</v>
      </c>
      <c r="AQ78" s="43" t="str">
        <f t="shared" si="58"/>
        <v>Study</v>
      </c>
      <c r="AR78" s="43"/>
      <c r="AS78" s="43" t="str">
        <f t="shared" si="84"/>
        <v>Study</v>
      </c>
      <c r="AT78" s="41">
        <f t="shared" si="85"/>
        <v>78</v>
      </c>
      <c r="AU78" s="80">
        <f t="shared" si="86"/>
        <v>12.25</v>
      </c>
      <c r="AV78" s="41">
        <f t="shared" si="93"/>
        <v>49</v>
      </c>
      <c r="AW78" s="42">
        <v>2</v>
      </c>
      <c r="AX78" s="43" t="str">
        <f t="shared" si="59"/>
        <v>Study</v>
      </c>
      <c r="AY78" s="43"/>
      <c r="AZ78" s="43" t="str">
        <f t="shared" si="87"/>
        <v>Study</v>
      </c>
      <c r="BA78" s="45">
        <f t="shared" si="60"/>
        <v>78</v>
      </c>
      <c r="BB78" s="45">
        <f t="shared" si="61"/>
        <v>12.25</v>
      </c>
      <c r="BC78" s="45">
        <f t="shared" si="62"/>
        <v>49</v>
      </c>
      <c r="BD78" s="45">
        <f t="shared" si="63"/>
        <v>2</v>
      </c>
      <c r="BE78" s="45" t="str">
        <f t="shared" si="64"/>
        <v>Study</v>
      </c>
      <c r="BF78" s="45">
        <f t="shared" si="65"/>
        <v>0</v>
      </c>
      <c r="BG78" s="46" t="str">
        <f t="shared" si="66"/>
        <v>Study</v>
      </c>
    </row>
    <row r="79" spans="1:59" s="38" customFormat="1" ht="24">
      <c r="A79" s="56"/>
      <c r="B79" s="57"/>
      <c r="C79" s="47">
        <v>0.80208333333333304</v>
      </c>
      <c r="D79" s="48">
        <f t="shared" si="67"/>
        <v>0</v>
      </c>
      <c r="E79" s="83">
        <f t="shared" si="68"/>
        <v>0.25</v>
      </c>
      <c r="F79" s="48">
        <f t="shared" si="69"/>
        <v>1</v>
      </c>
      <c r="G79" s="49">
        <v>12</v>
      </c>
      <c r="H79" s="50" t="str">
        <f t="shared" si="53"/>
        <v>On the go</v>
      </c>
      <c r="I79" s="50"/>
      <c r="J79" s="50" t="str">
        <f t="shared" si="70"/>
        <v>On the go</v>
      </c>
      <c r="K79" s="48">
        <f t="shared" si="71"/>
        <v>0</v>
      </c>
      <c r="L79" s="81">
        <f t="shared" si="72"/>
        <v>0.25</v>
      </c>
      <c r="M79" s="48">
        <f t="shared" si="88"/>
        <v>1</v>
      </c>
      <c r="N79" s="49">
        <v>12</v>
      </c>
      <c r="O79" s="50" t="str">
        <f t="shared" si="94"/>
        <v>On the go</v>
      </c>
      <c r="P79" s="50"/>
      <c r="Q79" s="50" t="str">
        <f t="shared" si="73"/>
        <v>On the go</v>
      </c>
      <c r="R79" s="48">
        <f t="shared" si="74"/>
        <v>0</v>
      </c>
      <c r="S79" s="81">
        <f t="shared" si="75"/>
        <v>0.25</v>
      </c>
      <c r="T79" s="48">
        <f t="shared" si="89"/>
        <v>1</v>
      </c>
      <c r="U79" s="49">
        <v>12</v>
      </c>
      <c r="V79" s="50" t="str">
        <f t="shared" si="54"/>
        <v>On the go</v>
      </c>
      <c r="W79" s="50"/>
      <c r="X79" s="50" t="str">
        <f t="shared" si="76"/>
        <v>On the go</v>
      </c>
      <c r="Y79" s="48">
        <f t="shared" si="77"/>
        <v>0</v>
      </c>
      <c r="Z79" s="81">
        <f t="shared" si="78"/>
        <v>0.25</v>
      </c>
      <c r="AA79" s="48">
        <f t="shared" si="90"/>
        <v>1</v>
      </c>
      <c r="AB79" s="49">
        <v>12</v>
      </c>
      <c r="AC79" s="50" t="str">
        <f t="shared" si="55"/>
        <v>On the go</v>
      </c>
      <c r="AD79" s="50"/>
      <c r="AE79" s="50" t="str">
        <f t="shared" si="79"/>
        <v>On the go</v>
      </c>
      <c r="AF79" s="48">
        <f t="shared" si="80"/>
        <v>0</v>
      </c>
      <c r="AG79" s="81">
        <f t="shared" si="81"/>
        <v>0.25</v>
      </c>
      <c r="AH79" s="48">
        <f t="shared" si="91"/>
        <v>1</v>
      </c>
      <c r="AI79" s="49">
        <v>12</v>
      </c>
      <c r="AJ79" s="50" t="str">
        <f t="shared" si="56"/>
        <v>On the go</v>
      </c>
      <c r="AK79" s="50"/>
      <c r="AL79" s="50" t="str">
        <f t="shared" si="57"/>
        <v>On the go</v>
      </c>
      <c r="AM79" s="48">
        <f t="shared" si="82"/>
        <v>0</v>
      </c>
      <c r="AN79" s="81">
        <f t="shared" si="83"/>
        <v>0.25</v>
      </c>
      <c r="AO79" s="48">
        <f t="shared" si="92"/>
        <v>1</v>
      </c>
      <c r="AP79" s="49">
        <v>12</v>
      </c>
      <c r="AQ79" s="50" t="str">
        <f t="shared" si="58"/>
        <v>On the go</v>
      </c>
      <c r="AR79" s="50"/>
      <c r="AS79" s="50" t="str">
        <f t="shared" si="84"/>
        <v>On the go</v>
      </c>
      <c r="AT79" s="48">
        <f t="shared" si="85"/>
        <v>0</v>
      </c>
      <c r="AU79" s="81">
        <f t="shared" si="86"/>
        <v>0.25</v>
      </c>
      <c r="AV79" s="48">
        <f t="shared" si="93"/>
        <v>1</v>
      </c>
      <c r="AW79" s="49">
        <v>12</v>
      </c>
      <c r="AX79" s="50" t="str">
        <f t="shared" si="59"/>
        <v>On the go</v>
      </c>
      <c r="AY79" s="50"/>
      <c r="AZ79" s="50" t="str">
        <f t="shared" si="87"/>
        <v>On the go</v>
      </c>
      <c r="BA79" s="45">
        <f t="shared" si="60"/>
        <v>0</v>
      </c>
      <c r="BB79" s="45">
        <f t="shared" si="61"/>
        <v>0.25</v>
      </c>
      <c r="BC79" s="45">
        <f t="shared" si="62"/>
        <v>1</v>
      </c>
      <c r="BD79" s="45">
        <f t="shared" si="63"/>
        <v>12</v>
      </c>
      <c r="BE79" s="45" t="str">
        <f t="shared" si="64"/>
        <v>On the go</v>
      </c>
      <c r="BF79" s="45">
        <f t="shared" si="65"/>
        <v>0</v>
      </c>
      <c r="BG79" s="46" t="str">
        <f t="shared" si="66"/>
        <v>On the go</v>
      </c>
    </row>
    <row r="80" spans="1:59" s="38" customFormat="1" ht="24">
      <c r="A80" s="56"/>
      <c r="B80" s="57"/>
      <c r="C80" s="51">
        <v>0.8125</v>
      </c>
      <c r="D80" s="41">
        <f t="shared" si="67"/>
        <v>0</v>
      </c>
      <c r="E80" s="86">
        <f t="shared" si="68"/>
        <v>0.5</v>
      </c>
      <c r="F80" s="41">
        <f t="shared" si="69"/>
        <v>2</v>
      </c>
      <c r="G80" s="42">
        <v>12</v>
      </c>
      <c r="H80" s="43" t="str">
        <f t="shared" si="53"/>
        <v>On the go</v>
      </c>
      <c r="I80" s="43"/>
      <c r="J80" s="43" t="str">
        <f t="shared" si="70"/>
        <v>On the go</v>
      </c>
      <c r="K80" s="41">
        <f t="shared" si="71"/>
        <v>0</v>
      </c>
      <c r="L80" s="80">
        <f t="shared" si="72"/>
        <v>0.5</v>
      </c>
      <c r="M80" s="41">
        <f t="shared" si="88"/>
        <v>2</v>
      </c>
      <c r="N80" s="42">
        <v>12</v>
      </c>
      <c r="O80" s="43" t="str">
        <f t="shared" si="94"/>
        <v>On the go</v>
      </c>
      <c r="P80" s="43"/>
      <c r="Q80" s="43" t="str">
        <f t="shared" si="73"/>
        <v>On the go</v>
      </c>
      <c r="R80" s="41">
        <f t="shared" si="74"/>
        <v>0</v>
      </c>
      <c r="S80" s="80">
        <f t="shared" si="75"/>
        <v>0.5</v>
      </c>
      <c r="T80" s="41">
        <f t="shared" si="89"/>
        <v>2</v>
      </c>
      <c r="U80" s="42">
        <v>12</v>
      </c>
      <c r="V80" s="43" t="str">
        <f t="shared" si="54"/>
        <v>On the go</v>
      </c>
      <c r="W80" s="43"/>
      <c r="X80" s="43" t="str">
        <f t="shared" si="76"/>
        <v>On the go</v>
      </c>
      <c r="Y80" s="41">
        <f t="shared" si="77"/>
        <v>0</v>
      </c>
      <c r="Z80" s="80">
        <f t="shared" si="78"/>
        <v>0.5</v>
      </c>
      <c r="AA80" s="41">
        <f t="shared" si="90"/>
        <v>2</v>
      </c>
      <c r="AB80" s="42">
        <v>12</v>
      </c>
      <c r="AC80" s="43" t="str">
        <f t="shared" si="55"/>
        <v>On the go</v>
      </c>
      <c r="AD80" s="43"/>
      <c r="AE80" s="43" t="str">
        <f t="shared" si="79"/>
        <v>On the go</v>
      </c>
      <c r="AF80" s="41">
        <f t="shared" si="80"/>
        <v>0</v>
      </c>
      <c r="AG80" s="80">
        <f t="shared" si="81"/>
        <v>0.5</v>
      </c>
      <c r="AH80" s="41">
        <f t="shared" si="91"/>
        <v>2</v>
      </c>
      <c r="AI80" s="42">
        <v>12</v>
      </c>
      <c r="AJ80" s="43" t="str">
        <f t="shared" si="56"/>
        <v>On the go</v>
      </c>
      <c r="AK80" s="43"/>
      <c r="AL80" s="43" t="str">
        <f t="shared" si="57"/>
        <v>On the go</v>
      </c>
      <c r="AM80" s="41">
        <f t="shared" si="82"/>
        <v>0</v>
      </c>
      <c r="AN80" s="80">
        <f t="shared" si="83"/>
        <v>0.5</v>
      </c>
      <c r="AO80" s="41">
        <f t="shared" si="92"/>
        <v>2</v>
      </c>
      <c r="AP80" s="42">
        <v>12</v>
      </c>
      <c r="AQ80" s="43" t="str">
        <f t="shared" si="58"/>
        <v>On the go</v>
      </c>
      <c r="AR80" s="43"/>
      <c r="AS80" s="43" t="str">
        <f t="shared" si="84"/>
        <v>On the go</v>
      </c>
      <c r="AT80" s="41">
        <f t="shared" si="85"/>
        <v>0</v>
      </c>
      <c r="AU80" s="80">
        <f t="shared" si="86"/>
        <v>0.5</v>
      </c>
      <c r="AV80" s="41">
        <f t="shared" si="93"/>
        <v>2</v>
      </c>
      <c r="AW80" s="42">
        <v>12</v>
      </c>
      <c r="AX80" s="43" t="str">
        <f t="shared" si="59"/>
        <v>On the go</v>
      </c>
      <c r="AY80" s="43"/>
      <c r="AZ80" s="43" t="str">
        <f t="shared" si="87"/>
        <v>On the go</v>
      </c>
      <c r="BA80" s="45">
        <f t="shared" si="60"/>
        <v>0</v>
      </c>
      <c r="BB80" s="45">
        <f t="shared" si="61"/>
        <v>0.5</v>
      </c>
      <c r="BC80" s="45">
        <f t="shared" si="62"/>
        <v>2</v>
      </c>
      <c r="BD80" s="45">
        <f t="shared" si="63"/>
        <v>12</v>
      </c>
      <c r="BE80" s="45" t="str">
        <f t="shared" si="64"/>
        <v>On the go</v>
      </c>
      <c r="BF80" s="45">
        <f t="shared" si="65"/>
        <v>0</v>
      </c>
      <c r="BG80" s="46" t="str">
        <f t="shared" si="66"/>
        <v>On the go</v>
      </c>
    </row>
    <row r="81" spans="1:60" s="38" customFormat="1" ht="24">
      <c r="A81" s="56"/>
      <c r="B81" s="57"/>
      <c r="C81" s="47">
        <v>0.82291666666666696</v>
      </c>
      <c r="D81" s="48">
        <f t="shared" si="67"/>
        <v>81</v>
      </c>
      <c r="E81" s="83">
        <f t="shared" si="68"/>
        <v>0.75</v>
      </c>
      <c r="F81" s="48">
        <f t="shared" si="69"/>
        <v>3</v>
      </c>
      <c r="G81" s="49">
        <v>12</v>
      </c>
      <c r="H81" s="50" t="str">
        <f t="shared" si="53"/>
        <v>On the go</v>
      </c>
      <c r="I81" s="50"/>
      <c r="J81" s="50" t="str">
        <f t="shared" si="70"/>
        <v>On the go</v>
      </c>
      <c r="K81" s="48">
        <f t="shared" si="71"/>
        <v>81</v>
      </c>
      <c r="L81" s="81">
        <f t="shared" si="72"/>
        <v>0.75</v>
      </c>
      <c r="M81" s="48">
        <f t="shared" si="88"/>
        <v>3</v>
      </c>
      <c r="N81" s="49">
        <v>12</v>
      </c>
      <c r="O81" s="50" t="str">
        <f t="shared" si="94"/>
        <v>On the go</v>
      </c>
      <c r="P81" s="50"/>
      <c r="Q81" s="50" t="str">
        <f t="shared" si="73"/>
        <v>On the go</v>
      </c>
      <c r="R81" s="48">
        <f t="shared" si="74"/>
        <v>81</v>
      </c>
      <c r="S81" s="81">
        <f t="shared" si="75"/>
        <v>0.75</v>
      </c>
      <c r="T81" s="48">
        <f t="shared" si="89"/>
        <v>3</v>
      </c>
      <c r="U81" s="49">
        <v>12</v>
      </c>
      <c r="V81" s="50" t="str">
        <f t="shared" si="54"/>
        <v>On the go</v>
      </c>
      <c r="W81" s="50"/>
      <c r="X81" s="50" t="str">
        <f t="shared" si="76"/>
        <v>On the go</v>
      </c>
      <c r="Y81" s="48">
        <f t="shared" si="77"/>
        <v>81</v>
      </c>
      <c r="Z81" s="81">
        <f t="shared" si="78"/>
        <v>0.75</v>
      </c>
      <c r="AA81" s="48">
        <f t="shared" si="90"/>
        <v>3</v>
      </c>
      <c r="AB81" s="49">
        <v>12</v>
      </c>
      <c r="AC81" s="50" t="str">
        <f t="shared" si="55"/>
        <v>On the go</v>
      </c>
      <c r="AD81" s="50"/>
      <c r="AE81" s="50" t="str">
        <f t="shared" si="79"/>
        <v>On the go</v>
      </c>
      <c r="AF81" s="48">
        <f t="shared" si="80"/>
        <v>81</v>
      </c>
      <c r="AG81" s="81">
        <f t="shared" si="81"/>
        <v>0.75</v>
      </c>
      <c r="AH81" s="48">
        <f t="shared" si="91"/>
        <v>3</v>
      </c>
      <c r="AI81" s="49">
        <v>12</v>
      </c>
      <c r="AJ81" s="50" t="str">
        <f t="shared" si="56"/>
        <v>On the go</v>
      </c>
      <c r="AK81" s="50"/>
      <c r="AL81" s="50" t="str">
        <f t="shared" si="57"/>
        <v>On the go</v>
      </c>
      <c r="AM81" s="48">
        <f t="shared" si="82"/>
        <v>81</v>
      </c>
      <c r="AN81" s="81">
        <f t="shared" si="83"/>
        <v>0.75</v>
      </c>
      <c r="AO81" s="48">
        <f t="shared" si="92"/>
        <v>3</v>
      </c>
      <c r="AP81" s="49">
        <v>12</v>
      </c>
      <c r="AQ81" s="50" t="str">
        <f t="shared" si="58"/>
        <v>On the go</v>
      </c>
      <c r="AR81" s="50"/>
      <c r="AS81" s="50" t="str">
        <f t="shared" si="84"/>
        <v>On the go</v>
      </c>
      <c r="AT81" s="48">
        <f t="shared" si="85"/>
        <v>81</v>
      </c>
      <c r="AU81" s="81">
        <f t="shared" si="86"/>
        <v>0.75</v>
      </c>
      <c r="AV81" s="48">
        <f t="shared" si="93"/>
        <v>3</v>
      </c>
      <c r="AW81" s="49">
        <v>12</v>
      </c>
      <c r="AX81" s="50" t="str">
        <f t="shared" si="59"/>
        <v>On the go</v>
      </c>
      <c r="AY81" s="50"/>
      <c r="AZ81" s="50" t="str">
        <f t="shared" si="87"/>
        <v>On the go</v>
      </c>
      <c r="BA81" s="45">
        <f t="shared" si="60"/>
        <v>81</v>
      </c>
      <c r="BB81" s="45">
        <f t="shared" si="61"/>
        <v>0.75</v>
      </c>
      <c r="BC81" s="45">
        <f t="shared" si="62"/>
        <v>3</v>
      </c>
      <c r="BD81" s="45">
        <f t="shared" si="63"/>
        <v>12</v>
      </c>
      <c r="BE81" s="45" t="str">
        <f t="shared" si="64"/>
        <v>On the go</v>
      </c>
      <c r="BF81" s="45">
        <f t="shared" si="65"/>
        <v>0</v>
      </c>
      <c r="BG81" s="46" t="str">
        <f t="shared" si="66"/>
        <v>On the go</v>
      </c>
    </row>
    <row r="82" spans="1:60" s="38" customFormat="1" ht="24">
      <c r="A82" s="56"/>
      <c r="B82" s="57"/>
      <c r="C82" s="51">
        <v>0.83333333333333304</v>
      </c>
      <c r="D82" s="41">
        <f t="shared" si="67"/>
        <v>0</v>
      </c>
      <c r="E82" s="86">
        <f t="shared" si="68"/>
        <v>0.25</v>
      </c>
      <c r="F82" s="41">
        <f t="shared" si="69"/>
        <v>1</v>
      </c>
      <c r="G82" s="42">
        <v>30</v>
      </c>
      <c r="H82" s="43" t="str">
        <f t="shared" si="53"/>
        <v>Free</v>
      </c>
      <c r="I82" s="43"/>
      <c r="J82" s="43" t="str">
        <f t="shared" si="70"/>
        <v>Free</v>
      </c>
      <c r="K82" s="41">
        <f t="shared" si="71"/>
        <v>0</v>
      </c>
      <c r="L82" s="80">
        <f t="shared" si="72"/>
        <v>0.25</v>
      </c>
      <c r="M82" s="41">
        <f t="shared" si="88"/>
        <v>1</v>
      </c>
      <c r="N82" s="42">
        <v>30</v>
      </c>
      <c r="O82" s="43" t="str">
        <f t="shared" si="94"/>
        <v>Free</v>
      </c>
      <c r="P82" s="43"/>
      <c r="Q82" s="43" t="str">
        <f t="shared" si="73"/>
        <v>Free</v>
      </c>
      <c r="R82" s="41">
        <f t="shared" si="74"/>
        <v>0</v>
      </c>
      <c r="S82" s="80">
        <f t="shared" si="75"/>
        <v>0.25</v>
      </c>
      <c r="T82" s="41">
        <f t="shared" si="89"/>
        <v>1</v>
      </c>
      <c r="U82" s="42">
        <v>30</v>
      </c>
      <c r="V82" s="43" t="str">
        <f t="shared" si="54"/>
        <v>Free</v>
      </c>
      <c r="W82" s="43"/>
      <c r="X82" s="43" t="str">
        <f t="shared" si="76"/>
        <v>Free</v>
      </c>
      <c r="Y82" s="41">
        <f t="shared" si="77"/>
        <v>0</v>
      </c>
      <c r="Z82" s="80">
        <f t="shared" si="78"/>
        <v>0.25</v>
      </c>
      <c r="AA82" s="41">
        <f t="shared" si="90"/>
        <v>1</v>
      </c>
      <c r="AB82" s="42">
        <v>30</v>
      </c>
      <c r="AC82" s="43" t="str">
        <f t="shared" si="55"/>
        <v>Free</v>
      </c>
      <c r="AD82" s="43"/>
      <c r="AE82" s="43" t="str">
        <f t="shared" si="79"/>
        <v>Free</v>
      </c>
      <c r="AF82" s="41">
        <f t="shared" si="80"/>
        <v>0</v>
      </c>
      <c r="AG82" s="80">
        <f t="shared" si="81"/>
        <v>0.25</v>
      </c>
      <c r="AH82" s="41">
        <f t="shared" si="91"/>
        <v>1</v>
      </c>
      <c r="AI82" s="42">
        <v>30</v>
      </c>
      <c r="AJ82" s="43" t="str">
        <f t="shared" si="56"/>
        <v>Free</v>
      </c>
      <c r="AK82" s="43"/>
      <c r="AL82" s="43" t="str">
        <f t="shared" si="57"/>
        <v>Free</v>
      </c>
      <c r="AM82" s="41">
        <f t="shared" si="82"/>
        <v>0</v>
      </c>
      <c r="AN82" s="80">
        <f t="shared" si="83"/>
        <v>0.25</v>
      </c>
      <c r="AO82" s="41">
        <f t="shared" si="92"/>
        <v>1</v>
      </c>
      <c r="AP82" s="42">
        <v>30</v>
      </c>
      <c r="AQ82" s="43" t="str">
        <f t="shared" si="58"/>
        <v>Free</v>
      </c>
      <c r="AR82" s="43"/>
      <c r="AS82" s="43" t="str">
        <f t="shared" si="84"/>
        <v>Free</v>
      </c>
      <c r="AT82" s="41">
        <f t="shared" si="85"/>
        <v>0</v>
      </c>
      <c r="AU82" s="80">
        <f t="shared" si="86"/>
        <v>0.25</v>
      </c>
      <c r="AV82" s="41">
        <f t="shared" si="93"/>
        <v>1</v>
      </c>
      <c r="AW82" s="42">
        <v>30</v>
      </c>
      <c r="AX82" s="43" t="str">
        <f t="shared" si="59"/>
        <v>Free</v>
      </c>
      <c r="AY82" s="43"/>
      <c r="AZ82" s="43" t="str">
        <f t="shared" si="87"/>
        <v>Free</v>
      </c>
      <c r="BA82" s="45">
        <f t="shared" si="60"/>
        <v>0</v>
      </c>
      <c r="BB82" s="45">
        <f t="shared" si="61"/>
        <v>0.25</v>
      </c>
      <c r="BC82" s="45">
        <f t="shared" si="62"/>
        <v>1</v>
      </c>
      <c r="BD82" s="45">
        <f t="shared" si="63"/>
        <v>30</v>
      </c>
      <c r="BE82" s="45" t="str">
        <f t="shared" si="64"/>
        <v>Free</v>
      </c>
      <c r="BF82" s="45">
        <f t="shared" si="65"/>
        <v>0</v>
      </c>
      <c r="BG82" s="46" t="str">
        <f t="shared" si="66"/>
        <v>Free</v>
      </c>
    </row>
    <row r="83" spans="1:60" s="38" customFormat="1" ht="24">
      <c r="A83" s="56"/>
      <c r="B83" s="57"/>
      <c r="C83" s="47">
        <v>0.84375</v>
      </c>
      <c r="D83" s="48">
        <f t="shared" si="67"/>
        <v>0</v>
      </c>
      <c r="E83" s="83">
        <f t="shared" si="68"/>
        <v>0.5</v>
      </c>
      <c r="F83" s="48">
        <f t="shared" si="69"/>
        <v>2</v>
      </c>
      <c r="G83" s="49">
        <v>30</v>
      </c>
      <c r="H83" s="50" t="str">
        <f t="shared" si="53"/>
        <v>Free</v>
      </c>
      <c r="I83" s="50"/>
      <c r="J83" s="50" t="str">
        <f t="shared" si="70"/>
        <v>Free</v>
      </c>
      <c r="K83" s="48">
        <f t="shared" si="71"/>
        <v>0</v>
      </c>
      <c r="L83" s="81">
        <f t="shared" si="72"/>
        <v>0.5</v>
      </c>
      <c r="M83" s="48">
        <f t="shared" si="88"/>
        <v>2</v>
      </c>
      <c r="N83" s="49">
        <v>30</v>
      </c>
      <c r="O83" s="50" t="str">
        <f t="shared" si="94"/>
        <v>Free</v>
      </c>
      <c r="P83" s="50"/>
      <c r="Q83" s="50" t="str">
        <f t="shared" si="73"/>
        <v>Free</v>
      </c>
      <c r="R83" s="48">
        <f t="shared" si="74"/>
        <v>0</v>
      </c>
      <c r="S83" s="81">
        <f t="shared" si="75"/>
        <v>0.5</v>
      </c>
      <c r="T83" s="48">
        <f t="shared" si="89"/>
        <v>2</v>
      </c>
      <c r="U83" s="49">
        <v>30</v>
      </c>
      <c r="V83" s="50" t="str">
        <f t="shared" si="54"/>
        <v>Free</v>
      </c>
      <c r="W83" s="50"/>
      <c r="X83" s="50" t="str">
        <f t="shared" si="76"/>
        <v>Free</v>
      </c>
      <c r="Y83" s="48">
        <f t="shared" si="77"/>
        <v>0</v>
      </c>
      <c r="Z83" s="81">
        <f t="shared" si="78"/>
        <v>0.5</v>
      </c>
      <c r="AA83" s="48">
        <f t="shared" si="90"/>
        <v>2</v>
      </c>
      <c r="AB83" s="49">
        <v>30</v>
      </c>
      <c r="AC83" s="50" t="str">
        <f t="shared" si="55"/>
        <v>Free</v>
      </c>
      <c r="AD83" s="50"/>
      <c r="AE83" s="50" t="str">
        <f t="shared" si="79"/>
        <v>Free</v>
      </c>
      <c r="AF83" s="48">
        <f t="shared" si="80"/>
        <v>0</v>
      </c>
      <c r="AG83" s="81">
        <f t="shared" si="81"/>
        <v>0.5</v>
      </c>
      <c r="AH83" s="48">
        <f t="shared" si="91"/>
        <v>2</v>
      </c>
      <c r="AI83" s="49">
        <v>30</v>
      </c>
      <c r="AJ83" s="50" t="str">
        <f t="shared" si="56"/>
        <v>Free</v>
      </c>
      <c r="AK83" s="50"/>
      <c r="AL83" s="50" t="str">
        <f t="shared" si="57"/>
        <v>Free</v>
      </c>
      <c r="AM83" s="48">
        <f t="shared" si="82"/>
        <v>0</v>
      </c>
      <c r="AN83" s="81">
        <f t="shared" si="83"/>
        <v>0.5</v>
      </c>
      <c r="AO83" s="48">
        <f t="shared" si="92"/>
        <v>2</v>
      </c>
      <c r="AP83" s="49">
        <v>30</v>
      </c>
      <c r="AQ83" s="50" t="str">
        <f t="shared" si="58"/>
        <v>Free</v>
      </c>
      <c r="AR83" s="50"/>
      <c r="AS83" s="50" t="str">
        <f t="shared" si="84"/>
        <v>Free</v>
      </c>
      <c r="AT83" s="48">
        <f t="shared" si="85"/>
        <v>0</v>
      </c>
      <c r="AU83" s="81">
        <f t="shared" si="86"/>
        <v>0.5</v>
      </c>
      <c r="AV83" s="48">
        <f t="shared" si="93"/>
        <v>2</v>
      </c>
      <c r="AW83" s="49">
        <v>30</v>
      </c>
      <c r="AX83" s="50" t="str">
        <f t="shared" si="59"/>
        <v>Free</v>
      </c>
      <c r="AY83" s="50"/>
      <c r="AZ83" s="50" t="str">
        <f t="shared" si="87"/>
        <v>Free</v>
      </c>
      <c r="BA83" s="45">
        <f t="shared" si="60"/>
        <v>0</v>
      </c>
      <c r="BB83" s="45">
        <f t="shared" si="61"/>
        <v>0.5</v>
      </c>
      <c r="BC83" s="45">
        <f t="shared" si="62"/>
        <v>2</v>
      </c>
      <c r="BD83" s="45">
        <f t="shared" si="63"/>
        <v>30</v>
      </c>
      <c r="BE83" s="45" t="str">
        <f t="shared" si="64"/>
        <v>Free</v>
      </c>
      <c r="BF83" s="45">
        <f t="shared" si="65"/>
        <v>0</v>
      </c>
      <c r="BG83" s="46" t="str">
        <f t="shared" si="66"/>
        <v>Free</v>
      </c>
    </row>
    <row r="84" spans="1:60" s="38" customFormat="1" ht="24">
      <c r="A84" s="56"/>
      <c r="B84" s="57"/>
      <c r="C84" s="51">
        <v>0.85416666666666696</v>
      </c>
      <c r="D84" s="41">
        <f t="shared" si="67"/>
        <v>0</v>
      </c>
      <c r="E84" s="86">
        <f t="shared" si="68"/>
        <v>0.75</v>
      </c>
      <c r="F84" s="41">
        <f t="shared" si="69"/>
        <v>3</v>
      </c>
      <c r="G84" s="42">
        <v>30</v>
      </c>
      <c r="H84" s="43" t="str">
        <f t="shared" si="53"/>
        <v>Free</v>
      </c>
      <c r="I84" s="43"/>
      <c r="J84" s="43" t="str">
        <f t="shared" si="70"/>
        <v>Free</v>
      </c>
      <c r="K84" s="41">
        <f t="shared" si="71"/>
        <v>0</v>
      </c>
      <c r="L84" s="80">
        <f t="shared" si="72"/>
        <v>0.75</v>
      </c>
      <c r="M84" s="41">
        <f t="shared" si="88"/>
        <v>3</v>
      </c>
      <c r="N84" s="42">
        <v>30</v>
      </c>
      <c r="O84" s="43" t="str">
        <f t="shared" si="94"/>
        <v>Free</v>
      </c>
      <c r="P84" s="43"/>
      <c r="Q84" s="43" t="str">
        <f t="shared" si="73"/>
        <v>Free</v>
      </c>
      <c r="R84" s="41">
        <f t="shared" si="74"/>
        <v>0</v>
      </c>
      <c r="S84" s="80">
        <f t="shared" si="75"/>
        <v>0.75</v>
      </c>
      <c r="T84" s="41">
        <f t="shared" si="89"/>
        <v>3</v>
      </c>
      <c r="U84" s="42">
        <v>30</v>
      </c>
      <c r="V84" s="43" t="str">
        <f t="shared" si="54"/>
        <v>Free</v>
      </c>
      <c r="W84" s="43"/>
      <c r="X84" s="43" t="str">
        <f t="shared" si="76"/>
        <v>Free</v>
      </c>
      <c r="Y84" s="41">
        <f t="shared" si="77"/>
        <v>0</v>
      </c>
      <c r="Z84" s="80">
        <f t="shared" si="78"/>
        <v>0.75</v>
      </c>
      <c r="AA84" s="41">
        <f t="shared" si="90"/>
        <v>3</v>
      </c>
      <c r="AB84" s="42">
        <v>30</v>
      </c>
      <c r="AC84" s="43" t="str">
        <f t="shared" si="55"/>
        <v>Free</v>
      </c>
      <c r="AD84" s="43"/>
      <c r="AE84" s="43" t="str">
        <f t="shared" si="79"/>
        <v>Free</v>
      </c>
      <c r="AF84" s="41">
        <f t="shared" si="80"/>
        <v>0</v>
      </c>
      <c r="AG84" s="80">
        <f t="shared" si="81"/>
        <v>0.75</v>
      </c>
      <c r="AH84" s="41">
        <f t="shared" si="91"/>
        <v>3</v>
      </c>
      <c r="AI84" s="42">
        <v>30</v>
      </c>
      <c r="AJ84" s="43" t="str">
        <f t="shared" si="56"/>
        <v>Free</v>
      </c>
      <c r="AK84" s="43"/>
      <c r="AL84" s="43" t="str">
        <f t="shared" si="57"/>
        <v>Free</v>
      </c>
      <c r="AM84" s="41">
        <f t="shared" si="82"/>
        <v>0</v>
      </c>
      <c r="AN84" s="80">
        <f t="shared" si="83"/>
        <v>0.75</v>
      </c>
      <c r="AO84" s="41">
        <f t="shared" si="92"/>
        <v>3</v>
      </c>
      <c r="AP84" s="42">
        <v>30</v>
      </c>
      <c r="AQ84" s="43" t="str">
        <f t="shared" si="58"/>
        <v>Free</v>
      </c>
      <c r="AR84" s="43"/>
      <c r="AS84" s="43" t="str">
        <f t="shared" si="84"/>
        <v>Free</v>
      </c>
      <c r="AT84" s="41">
        <f t="shared" si="85"/>
        <v>0</v>
      </c>
      <c r="AU84" s="80">
        <f t="shared" si="86"/>
        <v>0.75</v>
      </c>
      <c r="AV84" s="41">
        <f t="shared" si="93"/>
        <v>3</v>
      </c>
      <c r="AW84" s="42">
        <v>30</v>
      </c>
      <c r="AX84" s="43" t="str">
        <f t="shared" si="59"/>
        <v>Free</v>
      </c>
      <c r="AY84" s="43"/>
      <c r="AZ84" s="43" t="str">
        <f t="shared" si="87"/>
        <v>Free</v>
      </c>
      <c r="BA84" s="45">
        <f t="shared" si="60"/>
        <v>0</v>
      </c>
      <c r="BB84" s="45">
        <f t="shared" si="61"/>
        <v>0.75</v>
      </c>
      <c r="BC84" s="45">
        <f t="shared" si="62"/>
        <v>3</v>
      </c>
      <c r="BD84" s="45">
        <f t="shared" si="63"/>
        <v>30</v>
      </c>
      <c r="BE84" s="45" t="str">
        <f t="shared" si="64"/>
        <v>Free</v>
      </c>
      <c r="BF84" s="45">
        <f t="shared" si="65"/>
        <v>0</v>
      </c>
      <c r="BG84" s="46" t="str">
        <f t="shared" si="66"/>
        <v>Free</v>
      </c>
    </row>
    <row r="85" spans="1:60" s="38" customFormat="1" ht="24">
      <c r="A85" s="56"/>
      <c r="B85" s="57"/>
      <c r="C85" s="47">
        <v>0.86458333333333304</v>
      </c>
      <c r="D85" s="48">
        <f t="shared" si="67"/>
        <v>0</v>
      </c>
      <c r="E85" s="83">
        <f t="shared" si="68"/>
        <v>1</v>
      </c>
      <c r="F85" s="48">
        <f t="shared" si="69"/>
        <v>4</v>
      </c>
      <c r="G85" s="49">
        <v>30</v>
      </c>
      <c r="H85" s="50" t="str">
        <f t="shared" si="53"/>
        <v>Free</v>
      </c>
      <c r="I85" s="50"/>
      <c r="J85" s="50" t="str">
        <f t="shared" si="70"/>
        <v>Free</v>
      </c>
      <c r="K85" s="48">
        <f t="shared" si="71"/>
        <v>0</v>
      </c>
      <c r="L85" s="81">
        <f t="shared" si="72"/>
        <v>1</v>
      </c>
      <c r="M85" s="48">
        <f t="shared" si="88"/>
        <v>4</v>
      </c>
      <c r="N85" s="49">
        <v>30</v>
      </c>
      <c r="O85" s="50" t="str">
        <f t="shared" si="94"/>
        <v>Free</v>
      </c>
      <c r="P85" s="50"/>
      <c r="Q85" s="50" t="str">
        <f t="shared" si="73"/>
        <v>Free</v>
      </c>
      <c r="R85" s="48">
        <f t="shared" si="74"/>
        <v>0</v>
      </c>
      <c r="S85" s="81">
        <f t="shared" si="75"/>
        <v>1</v>
      </c>
      <c r="T85" s="48">
        <f t="shared" si="89"/>
        <v>4</v>
      </c>
      <c r="U85" s="49">
        <v>30</v>
      </c>
      <c r="V85" s="50" t="str">
        <f t="shared" si="54"/>
        <v>Free</v>
      </c>
      <c r="W85" s="50"/>
      <c r="X85" s="50" t="str">
        <f t="shared" si="76"/>
        <v>Free</v>
      </c>
      <c r="Y85" s="48">
        <f t="shared" si="77"/>
        <v>0</v>
      </c>
      <c r="Z85" s="81">
        <f t="shared" si="78"/>
        <v>1</v>
      </c>
      <c r="AA85" s="48">
        <f t="shared" si="90"/>
        <v>4</v>
      </c>
      <c r="AB85" s="49">
        <v>30</v>
      </c>
      <c r="AC85" s="50" t="str">
        <f t="shared" si="55"/>
        <v>Free</v>
      </c>
      <c r="AD85" s="50"/>
      <c r="AE85" s="50" t="str">
        <f t="shared" si="79"/>
        <v>Free</v>
      </c>
      <c r="AF85" s="48">
        <f t="shared" si="80"/>
        <v>0</v>
      </c>
      <c r="AG85" s="81">
        <f t="shared" si="81"/>
        <v>1</v>
      </c>
      <c r="AH85" s="48">
        <f t="shared" si="91"/>
        <v>4</v>
      </c>
      <c r="AI85" s="49">
        <v>30</v>
      </c>
      <c r="AJ85" s="50" t="str">
        <f t="shared" si="56"/>
        <v>Free</v>
      </c>
      <c r="AK85" s="50"/>
      <c r="AL85" s="50" t="str">
        <f t="shared" si="57"/>
        <v>Free</v>
      </c>
      <c r="AM85" s="48">
        <f t="shared" si="82"/>
        <v>0</v>
      </c>
      <c r="AN85" s="81">
        <f t="shared" si="83"/>
        <v>1</v>
      </c>
      <c r="AO85" s="48">
        <f t="shared" si="92"/>
        <v>4</v>
      </c>
      <c r="AP85" s="49">
        <v>30</v>
      </c>
      <c r="AQ85" s="50" t="str">
        <f t="shared" si="58"/>
        <v>Free</v>
      </c>
      <c r="AR85" s="50"/>
      <c r="AS85" s="50" t="str">
        <f t="shared" si="84"/>
        <v>Free</v>
      </c>
      <c r="AT85" s="48">
        <f t="shared" si="85"/>
        <v>0</v>
      </c>
      <c r="AU85" s="81">
        <f t="shared" si="86"/>
        <v>1</v>
      </c>
      <c r="AV85" s="48">
        <f t="shared" si="93"/>
        <v>4</v>
      </c>
      <c r="AW85" s="49">
        <v>30</v>
      </c>
      <c r="AX85" s="50" t="str">
        <f t="shared" si="59"/>
        <v>Free</v>
      </c>
      <c r="AY85" s="50"/>
      <c r="AZ85" s="50" t="str">
        <f t="shared" si="87"/>
        <v>Free</v>
      </c>
      <c r="BA85" s="45">
        <f t="shared" si="60"/>
        <v>0</v>
      </c>
      <c r="BB85" s="45">
        <f t="shared" si="61"/>
        <v>1</v>
      </c>
      <c r="BC85" s="45">
        <f t="shared" si="62"/>
        <v>4</v>
      </c>
      <c r="BD85" s="45">
        <f t="shared" si="63"/>
        <v>30</v>
      </c>
      <c r="BE85" s="45" t="str">
        <f t="shared" si="64"/>
        <v>Free</v>
      </c>
      <c r="BF85" s="45">
        <f t="shared" si="65"/>
        <v>0</v>
      </c>
      <c r="BG85" s="46" t="str">
        <f t="shared" si="66"/>
        <v>Free</v>
      </c>
    </row>
    <row r="86" spans="1:60" s="38" customFormat="1" ht="24">
      <c r="A86" s="56"/>
      <c r="B86" s="57"/>
      <c r="C86" s="51">
        <v>0.875</v>
      </c>
      <c r="D86" s="41">
        <f t="shared" si="67"/>
        <v>0</v>
      </c>
      <c r="E86" s="86">
        <f t="shared" si="68"/>
        <v>1.25</v>
      </c>
      <c r="F86" s="41">
        <f t="shared" si="69"/>
        <v>5</v>
      </c>
      <c r="G86" s="42">
        <v>30</v>
      </c>
      <c r="H86" s="43" t="str">
        <f t="shared" si="53"/>
        <v>Free</v>
      </c>
      <c r="I86" s="43"/>
      <c r="J86" s="43" t="str">
        <f t="shared" si="70"/>
        <v>Free</v>
      </c>
      <c r="K86" s="41">
        <f t="shared" si="71"/>
        <v>0</v>
      </c>
      <c r="L86" s="80">
        <f t="shared" si="72"/>
        <v>1.25</v>
      </c>
      <c r="M86" s="41">
        <f t="shared" si="88"/>
        <v>5</v>
      </c>
      <c r="N86" s="42">
        <v>30</v>
      </c>
      <c r="O86" s="43" t="str">
        <f t="shared" si="94"/>
        <v>Free</v>
      </c>
      <c r="P86" s="43"/>
      <c r="Q86" s="43" t="str">
        <f t="shared" si="73"/>
        <v>Free</v>
      </c>
      <c r="R86" s="41">
        <f t="shared" si="74"/>
        <v>0</v>
      </c>
      <c r="S86" s="80">
        <f t="shared" si="75"/>
        <v>1.25</v>
      </c>
      <c r="T86" s="41">
        <f t="shared" si="89"/>
        <v>5</v>
      </c>
      <c r="U86" s="42">
        <v>30</v>
      </c>
      <c r="V86" s="43" t="str">
        <f t="shared" si="54"/>
        <v>Free</v>
      </c>
      <c r="W86" s="43"/>
      <c r="X86" s="43" t="str">
        <f t="shared" si="76"/>
        <v>Free</v>
      </c>
      <c r="Y86" s="41">
        <f t="shared" si="77"/>
        <v>0</v>
      </c>
      <c r="Z86" s="80">
        <f t="shared" si="78"/>
        <v>1.25</v>
      </c>
      <c r="AA86" s="41">
        <f t="shared" si="90"/>
        <v>5</v>
      </c>
      <c r="AB86" s="42">
        <v>30</v>
      </c>
      <c r="AC86" s="43" t="str">
        <f t="shared" si="55"/>
        <v>Free</v>
      </c>
      <c r="AD86" s="43"/>
      <c r="AE86" s="43" t="str">
        <f t="shared" si="79"/>
        <v>Free</v>
      </c>
      <c r="AF86" s="41">
        <f t="shared" si="80"/>
        <v>0</v>
      </c>
      <c r="AG86" s="80">
        <f t="shared" si="81"/>
        <v>1.25</v>
      </c>
      <c r="AH86" s="41">
        <f t="shared" si="91"/>
        <v>5</v>
      </c>
      <c r="AI86" s="42">
        <v>30</v>
      </c>
      <c r="AJ86" s="43" t="str">
        <f t="shared" si="56"/>
        <v>Free</v>
      </c>
      <c r="AK86" s="43"/>
      <c r="AL86" s="43" t="str">
        <f t="shared" si="57"/>
        <v>Free</v>
      </c>
      <c r="AM86" s="41">
        <f t="shared" si="82"/>
        <v>0</v>
      </c>
      <c r="AN86" s="80">
        <f t="shared" si="83"/>
        <v>1.25</v>
      </c>
      <c r="AO86" s="41">
        <f t="shared" si="92"/>
        <v>5</v>
      </c>
      <c r="AP86" s="42">
        <v>30</v>
      </c>
      <c r="AQ86" s="43" t="str">
        <f t="shared" si="58"/>
        <v>Free</v>
      </c>
      <c r="AR86" s="43"/>
      <c r="AS86" s="43" t="str">
        <f t="shared" si="84"/>
        <v>Free</v>
      </c>
      <c r="AT86" s="41">
        <f t="shared" si="85"/>
        <v>0</v>
      </c>
      <c r="AU86" s="80">
        <f t="shared" si="86"/>
        <v>1.25</v>
      </c>
      <c r="AV86" s="41">
        <f t="shared" si="93"/>
        <v>5</v>
      </c>
      <c r="AW86" s="42">
        <v>30</v>
      </c>
      <c r="AX86" s="43" t="str">
        <f t="shared" si="59"/>
        <v>Free</v>
      </c>
      <c r="AY86" s="43"/>
      <c r="AZ86" s="43" t="str">
        <f t="shared" si="87"/>
        <v>Free</v>
      </c>
      <c r="BA86" s="45">
        <f t="shared" si="60"/>
        <v>0</v>
      </c>
      <c r="BB86" s="45">
        <f t="shared" si="61"/>
        <v>1.25</v>
      </c>
      <c r="BC86" s="45">
        <f t="shared" si="62"/>
        <v>5</v>
      </c>
      <c r="BD86" s="45">
        <f t="shared" si="63"/>
        <v>30</v>
      </c>
      <c r="BE86" s="45" t="str">
        <f t="shared" si="64"/>
        <v>Free</v>
      </c>
      <c r="BF86" s="45">
        <f t="shared" si="65"/>
        <v>0</v>
      </c>
      <c r="BG86" s="46" t="str">
        <f t="shared" si="66"/>
        <v>Free</v>
      </c>
    </row>
    <row r="87" spans="1:60" s="38" customFormat="1" ht="24">
      <c r="A87" s="56"/>
      <c r="B87" s="57"/>
      <c r="C87" s="47">
        <v>0.88541666666666696</v>
      </c>
      <c r="D87" s="48">
        <f t="shared" si="67"/>
        <v>0</v>
      </c>
      <c r="E87" s="83">
        <f t="shared" si="68"/>
        <v>1.5</v>
      </c>
      <c r="F87" s="48">
        <f t="shared" si="69"/>
        <v>6</v>
      </c>
      <c r="G87" s="49">
        <v>30</v>
      </c>
      <c r="H87" s="50" t="str">
        <f t="shared" si="53"/>
        <v>Free</v>
      </c>
      <c r="I87" s="50"/>
      <c r="J87" s="50" t="str">
        <f t="shared" si="70"/>
        <v>Free</v>
      </c>
      <c r="K87" s="48">
        <f t="shared" si="71"/>
        <v>0</v>
      </c>
      <c r="L87" s="81">
        <f t="shared" si="72"/>
        <v>1.5</v>
      </c>
      <c r="M87" s="48">
        <f t="shared" si="88"/>
        <v>6</v>
      </c>
      <c r="N87" s="49">
        <v>30</v>
      </c>
      <c r="O87" s="50" t="str">
        <f t="shared" si="94"/>
        <v>Free</v>
      </c>
      <c r="P87" s="50"/>
      <c r="Q87" s="50" t="str">
        <f t="shared" si="73"/>
        <v>Free</v>
      </c>
      <c r="R87" s="48">
        <f t="shared" si="74"/>
        <v>0</v>
      </c>
      <c r="S87" s="81">
        <f t="shared" si="75"/>
        <v>1.5</v>
      </c>
      <c r="T87" s="48">
        <f t="shared" si="89"/>
        <v>6</v>
      </c>
      <c r="U87" s="49">
        <v>30</v>
      </c>
      <c r="V87" s="50" t="str">
        <f t="shared" si="54"/>
        <v>Free</v>
      </c>
      <c r="W87" s="50"/>
      <c r="X87" s="50" t="str">
        <f t="shared" si="76"/>
        <v>Free</v>
      </c>
      <c r="Y87" s="48">
        <f t="shared" si="77"/>
        <v>0</v>
      </c>
      <c r="Z87" s="81">
        <f t="shared" si="78"/>
        <v>1.5</v>
      </c>
      <c r="AA87" s="48">
        <f t="shared" si="90"/>
        <v>6</v>
      </c>
      <c r="AB87" s="49">
        <v>30</v>
      </c>
      <c r="AC87" s="50" t="str">
        <f t="shared" si="55"/>
        <v>Free</v>
      </c>
      <c r="AD87" s="50"/>
      <c r="AE87" s="50" t="str">
        <f t="shared" si="79"/>
        <v>Free</v>
      </c>
      <c r="AF87" s="48">
        <f t="shared" si="80"/>
        <v>0</v>
      </c>
      <c r="AG87" s="81">
        <f t="shared" si="81"/>
        <v>1.5</v>
      </c>
      <c r="AH87" s="48">
        <f t="shared" si="91"/>
        <v>6</v>
      </c>
      <c r="AI87" s="49">
        <v>30</v>
      </c>
      <c r="AJ87" s="50" t="str">
        <f t="shared" si="56"/>
        <v>Free</v>
      </c>
      <c r="AK87" s="50"/>
      <c r="AL87" s="50" t="str">
        <f t="shared" si="57"/>
        <v>Free</v>
      </c>
      <c r="AM87" s="48">
        <f t="shared" si="82"/>
        <v>0</v>
      </c>
      <c r="AN87" s="81">
        <f t="shared" si="83"/>
        <v>1.5</v>
      </c>
      <c r="AO87" s="48">
        <f t="shared" si="92"/>
        <v>6</v>
      </c>
      <c r="AP87" s="49">
        <v>30</v>
      </c>
      <c r="AQ87" s="50" t="str">
        <f t="shared" si="58"/>
        <v>Free</v>
      </c>
      <c r="AR87" s="50"/>
      <c r="AS87" s="50" t="str">
        <f t="shared" si="84"/>
        <v>Free</v>
      </c>
      <c r="AT87" s="48">
        <f t="shared" si="85"/>
        <v>0</v>
      </c>
      <c r="AU87" s="81">
        <f t="shared" si="86"/>
        <v>1.5</v>
      </c>
      <c r="AV87" s="48">
        <f t="shared" si="93"/>
        <v>6</v>
      </c>
      <c r="AW87" s="49">
        <v>30</v>
      </c>
      <c r="AX87" s="50" t="str">
        <f t="shared" si="59"/>
        <v>Free</v>
      </c>
      <c r="AY87" s="50"/>
      <c r="AZ87" s="50" t="str">
        <f t="shared" si="87"/>
        <v>Free</v>
      </c>
      <c r="BA87" s="45">
        <f t="shared" si="60"/>
        <v>0</v>
      </c>
      <c r="BB87" s="45">
        <f t="shared" si="61"/>
        <v>1.5</v>
      </c>
      <c r="BC87" s="45">
        <f t="shared" si="62"/>
        <v>6</v>
      </c>
      <c r="BD87" s="45">
        <f t="shared" si="63"/>
        <v>30</v>
      </c>
      <c r="BE87" s="45" t="str">
        <f t="shared" si="64"/>
        <v>Free</v>
      </c>
      <c r="BF87" s="45">
        <f t="shared" si="65"/>
        <v>0</v>
      </c>
      <c r="BG87" s="46" t="str">
        <f t="shared" si="66"/>
        <v>Free</v>
      </c>
    </row>
    <row r="88" spans="1:60" s="38" customFormat="1" ht="24">
      <c r="A88" s="56"/>
      <c r="B88" s="57"/>
      <c r="C88" s="51">
        <v>0.89583333333333304</v>
      </c>
      <c r="D88" s="41">
        <f t="shared" si="67"/>
        <v>0</v>
      </c>
      <c r="E88" s="86">
        <f t="shared" si="68"/>
        <v>1.75</v>
      </c>
      <c r="F88" s="41">
        <f t="shared" si="69"/>
        <v>7</v>
      </c>
      <c r="G88" s="42">
        <v>30</v>
      </c>
      <c r="H88" s="43" t="str">
        <f t="shared" si="53"/>
        <v>Free</v>
      </c>
      <c r="I88" s="43"/>
      <c r="J88" s="43" t="str">
        <f t="shared" si="70"/>
        <v>Free</v>
      </c>
      <c r="K88" s="41">
        <f t="shared" si="71"/>
        <v>0</v>
      </c>
      <c r="L88" s="80">
        <f t="shared" si="72"/>
        <v>1.75</v>
      </c>
      <c r="M88" s="41">
        <f t="shared" si="88"/>
        <v>7</v>
      </c>
      <c r="N88" s="42">
        <v>30</v>
      </c>
      <c r="O88" s="43" t="str">
        <f t="shared" si="94"/>
        <v>Free</v>
      </c>
      <c r="P88" s="43"/>
      <c r="Q88" s="43" t="str">
        <f t="shared" si="73"/>
        <v>Free</v>
      </c>
      <c r="R88" s="41">
        <f t="shared" si="74"/>
        <v>0</v>
      </c>
      <c r="S88" s="80">
        <f t="shared" si="75"/>
        <v>1.75</v>
      </c>
      <c r="T88" s="41">
        <f t="shared" si="89"/>
        <v>7</v>
      </c>
      <c r="U88" s="42">
        <v>30</v>
      </c>
      <c r="V88" s="43" t="str">
        <f t="shared" si="54"/>
        <v>Free</v>
      </c>
      <c r="W88" s="43"/>
      <c r="X88" s="43" t="str">
        <f t="shared" si="76"/>
        <v>Free</v>
      </c>
      <c r="Y88" s="41">
        <f t="shared" si="77"/>
        <v>0</v>
      </c>
      <c r="Z88" s="80">
        <f t="shared" si="78"/>
        <v>1.75</v>
      </c>
      <c r="AA88" s="41">
        <f t="shared" si="90"/>
        <v>7</v>
      </c>
      <c r="AB88" s="42">
        <v>30</v>
      </c>
      <c r="AC88" s="43" t="str">
        <f t="shared" si="55"/>
        <v>Free</v>
      </c>
      <c r="AD88" s="43"/>
      <c r="AE88" s="43" t="str">
        <f t="shared" si="79"/>
        <v>Free</v>
      </c>
      <c r="AF88" s="41">
        <f t="shared" si="80"/>
        <v>0</v>
      </c>
      <c r="AG88" s="80">
        <f t="shared" si="81"/>
        <v>1.75</v>
      </c>
      <c r="AH88" s="41">
        <f t="shared" si="91"/>
        <v>7</v>
      </c>
      <c r="AI88" s="42">
        <v>30</v>
      </c>
      <c r="AJ88" s="43" t="str">
        <f t="shared" si="56"/>
        <v>Free</v>
      </c>
      <c r="AK88" s="43"/>
      <c r="AL88" s="43" t="str">
        <f t="shared" si="57"/>
        <v>Free</v>
      </c>
      <c r="AM88" s="41">
        <f t="shared" si="82"/>
        <v>0</v>
      </c>
      <c r="AN88" s="80">
        <f t="shared" si="83"/>
        <v>1.75</v>
      </c>
      <c r="AO88" s="41">
        <f t="shared" si="92"/>
        <v>7</v>
      </c>
      <c r="AP88" s="42">
        <v>30</v>
      </c>
      <c r="AQ88" s="43" t="str">
        <f t="shared" si="58"/>
        <v>Free</v>
      </c>
      <c r="AR88" s="43"/>
      <c r="AS88" s="43" t="str">
        <f t="shared" si="84"/>
        <v>Free</v>
      </c>
      <c r="AT88" s="41">
        <f t="shared" si="85"/>
        <v>0</v>
      </c>
      <c r="AU88" s="80">
        <f t="shared" si="86"/>
        <v>1.75</v>
      </c>
      <c r="AV88" s="41">
        <f t="shared" si="93"/>
        <v>7</v>
      </c>
      <c r="AW88" s="42">
        <v>30</v>
      </c>
      <c r="AX88" s="43" t="str">
        <f t="shared" si="59"/>
        <v>Free</v>
      </c>
      <c r="AY88" s="43"/>
      <c r="AZ88" s="43" t="str">
        <f t="shared" si="87"/>
        <v>Free</v>
      </c>
      <c r="BA88" s="45">
        <f t="shared" si="60"/>
        <v>0</v>
      </c>
      <c r="BB88" s="45">
        <f t="shared" si="61"/>
        <v>1.75</v>
      </c>
      <c r="BC88" s="45">
        <f t="shared" si="62"/>
        <v>7</v>
      </c>
      <c r="BD88" s="45">
        <f t="shared" si="63"/>
        <v>30</v>
      </c>
      <c r="BE88" s="45" t="str">
        <f t="shared" si="64"/>
        <v>Free</v>
      </c>
      <c r="BF88" s="45">
        <f t="shared" si="65"/>
        <v>0</v>
      </c>
      <c r="BG88" s="46" t="str">
        <f t="shared" si="66"/>
        <v>Free</v>
      </c>
    </row>
    <row r="89" spans="1:60" s="38" customFormat="1" ht="24">
      <c r="A89" s="56"/>
      <c r="B89" s="57"/>
      <c r="C89" s="47">
        <v>0.90625</v>
      </c>
      <c r="D89" s="48">
        <f t="shared" si="67"/>
        <v>89</v>
      </c>
      <c r="E89" s="83">
        <f t="shared" si="68"/>
        <v>2</v>
      </c>
      <c r="F89" s="48">
        <f t="shared" si="69"/>
        <v>8</v>
      </c>
      <c r="G89" s="49">
        <v>30</v>
      </c>
      <c r="H89" s="50" t="str">
        <f t="shared" si="53"/>
        <v>Free</v>
      </c>
      <c r="I89" s="50"/>
      <c r="J89" s="50" t="str">
        <f t="shared" si="70"/>
        <v>Free</v>
      </c>
      <c r="K89" s="48">
        <f t="shared" si="71"/>
        <v>89</v>
      </c>
      <c r="L89" s="81">
        <f t="shared" si="72"/>
        <v>2</v>
      </c>
      <c r="M89" s="48">
        <f t="shared" si="88"/>
        <v>8</v>
      </c>
      <c r="N89" s="49">
        <v>30</v>
      </c>
      <c r="O89" s="50" t="str">
        <f t="shared" si="94"/>
        <v>Free</v>
      </c>
      <c r="P89" s="50"/>
      <c r="Q89" s="50" t="str">
        <f t="shared" si="73"/>
        <v>Free</v>
      </c>
      <c r="R89" s="48">
        <f t="shared" si="74"/>
        <v>89</v>
      </c>
      <c r="S89" s="81">
        <f t="shared" si="75"/>
        <v>2</v>
      </c>
      <c r="T89" s="48">
        <f t="shared" si="89"/>
        <v>8</v>
      </c>
      <c r="U89" s="49">
        <v>30</v>
      </c>
      <c r="V89" s="50" t="str">
        <f t="shared" si="54"/>
        <v>Free</v>
      </c>
      <c r="W89" s="50"/>
      <c r="X89" s="50" t="str">
        <f t="shared" si="76"/>
        <v>Free</v>
      </c>
      <c r="Y89" s="48">
        <f t="shared" si="77"/>
        <v>89</v>
      </c>
      <c r="Z89" s="81">
        <f t="shared" si="78"/>
        <v>2</v>
      </c>
      <c r="AA89" s="48">
        <f t="shared" si="90"/>
        <v>8</v>
      </c>
      <c r="AB89" s="49">
        <v>30</v>
      </c>
      <c r="AC89" s="50" t="str">
        <f t="shared" si="55"/>
        <v>Free</v>
      </c>
      <c r="AD89" s="50"/>
      <c r="AE89" s="50" t="str">
        <f t="shared" si="79"/>
        <v>Free</v>
      </c>
      <c r="AF89" s="48">
        <f t="shared" si="80"/>
        <v>89</v>
      </c>
      <c r="AG89" s="81">
        <f t="shared" si="81"/>
        <v>2</v>
      </c>
      <c r="AH89" s="48">
        <f t="shared" si="91"/>
        <v>8</v>
      </c>
      <c r="AI89" s="49">
        <v>30</v>
      </c>
      <c r="AJ89" s="50" t="str">
        <f t="shared" si="56"/>
        <v>Free</v>
      </c>
      <c r="AK89" s="50"/>
      <c r="AL89" s="50" t="str">
        <f t="shared" si="57"/>
        <v>Free</v>
      </c>
      <c r="AM89" s="48">
        <f t="shared" si="82"/>
        <v>89</v>
      </c>
      <c r="AN89" s="81">
        <f t="shared" si="83"/>
        <v>2</v>
      </c>
      <c r="AO89" s="48">
        <f t="shared" si="92"/>
        <v>8</v>
      </c>
      <c r="AP89" s="49">
        <v>30</v>
      </c>
      <c r="AQ89" s="50" t="str">
        <f t="shared" si="58"/>
        <v>Free</v>
      </c>
      <c r="AR89" s="50"/>
      <c r="AS89" s="50" t="str">
        <f t="shared" si="84"/>
        <v>Free</v>
      </c>
      <c r="AT89" s="48">
        <f t="shared" si="85"/>
        <v>89</v>
      </c>
      <c r="AU89" s="81">
        <f t="shared" si="86"/>
        <v>2</v>
      </c>
      <c r="AV89" s="48">
        <f t="shared" si="93"/>
        <v>8</v>
      </c>
      <c r="AW89" s="49">
        <v>30</v>
      </c>
      <c r="AX89" s="50" t="str">
        <f t="shared" si="59"/>
        <v>Free</v>
      </c>
      <c r="AY89" s="50"/>
      <c r="AZ89" s="50" t="str">
        <f t="shared" si="87"/>
        <v>Free</v>
      </c>
      <c r="BA89" s="45">
        <f t="shared" si="60"/>
        <v>89</v>
      </c>
      <c r="BB89" s="45">
        <f t="shared" si="61"/>
        <v>2</v>
      </c>
      <c r="BC89" s="45">
        <f t="shared" si="62"/>
        <v>8</v>
      </c>
      <c r="BD89" s="45">
        <f t="shared" si="63"/>
        <v>30</v>
      </c>
      <c r="BE89" s="45" t="str">
        <f t="shared" si="64"/>
        <v>Free</v>
      </c>
      <c r="BF89" s="45">
        <f t="shared" si="65"/>
        <v>0</v>
      </c>
      <c r="BG89" s="46" t="str">
        <f t="shared" si="66"/>
        <v>Free</v>
      </c>
    </row>
    <row r="90" spans="1:60" s="38" customFormat="1" ht="24">
      <c r="A90" s="56"/>
      <c r="B90" s="57"/>
      <c r="C90" s="51">
        <v>0.91666666666666696</v>
      </c>
      <c r="D90" s="41">
        <f t="shared" si="67"/>
        <v>0</v>
      </c>
      <c r="E90" s="86">
        <f t="shared" si="68"/>
        <v>0.25</v>
      </c>
      <c r="F90" s="41">
        <f t="shared" si="69"/>
        <v>1</v>
      </c>
      <c r="G90" s="42">
        <v>23</v>
      </c>
      <c r="H90" s="43" t="str">
        <f t="shared" si="53"/>
        <v>Prepare to sleep in bed</v>
      </c>
      <c r="I90" s="43"/>
      <c r="J90" s="43" t="str">
        <f t="shared" si="70"/>
        <v>Prepare to sleep in bed</v>
      </c>
      <c r="K90" s="41">
        <f t="shared" si="71"/>
        <v>0</v>
      </c>
      <c r="L90" s="80">
        <f t="shared" si="72"/>
        <v>0.25</v>
      </c>
      <c r="M90" s="41">
        <f t="shared" si="88"/>
        <v>1</v>
      </c>
      <c r="N90" s="42">
        <v>23</v>
      </c>
      <c r="O90" s="43" t="str">
        <f t="shared" si="94"/>
        <v>Prepare to sleep in bed</v>
      </c>
      <c r="P90" s="43"/>
      <c r="Q90" s="43" t="str">
        <f t="shared" si="73"/>
        <v>Prepare to sleep in bed</v>
      </c>
      <c r="R90" s="41">
        <f t="shared" si="74"/>
        <v>0</v>
      </c>
      <c r="S90" s="80">
        <f t="shared" si="75"/>
        <v>0.25</v>
      </c>
      <c r="T90" s="41">
        <f t="shared" si="89"/>
        <v>1</v>
      </c>
      <c r="U90" s="42">
        <v>23</v>
      </c>
      <c r="V90" s="43" t="str">
        <f t="shared" si="54"/>
        <v>Prepare to sleep in bed</v>
      </c>
      <c r="W90" s="43"/>
      <c r="X90" s="43" t="str">
        <f t="shared" si="76"/>
        <v>Prepare to sleep in bed</v>
      </c>
      <c r="Y90" s="41">
        <f t="shared" si="77"/>
        <v>0</v>
      </c>
      <c r="Z90" s="80">
        <f t="shared" si="78"/>
        <v>0.25</v>
      </c>
      <c r="AA90" s="41">
        <f t="shared" si="90"/>
        <v>1</v>
      </c>
      <c r="AB90" s="42">
        <v>23</v>
      </c>
      <c r="AC90" s="43" t="str">
        <f t="shared" si="55"/>
        <v>Prepare to sleep in bed</v>
      </c>
      <c r="AD90" s="43"/>
      <c r="AE90" s="43" t="str">
        <f t="shared" si="79"/>
        <v>Prepare to sleep in bed</v>
      </c>
      <c r="AF90" s="41">
        <f t="shared" si="80"/>
        <v>0</v>
      </c>
      <c r="AG90" s="80">
        <f t="shared" si="81"/>
        <v>0.25</v>
      </c>
      <c r="AH90" s="41">
        <f t="shared" si="91"/>
        <v>1</v>
      </c>
      <c r="AI90" s="42">
        <v>23</v>
      </c>
      <c r="AJ90" s="43" t="str">
        <f t="shared" si="56"/>
        <v>Prepare to sleep in bed</v>
      </c>
      <c r="AK90" s="43"/>
      <c r="AL90" s="43" t="str">
        <f t="shared" si="57"/>
        <v>Prepare to sleep in bed</v>
      </c>
      <c r="AM90" s="41">
        <f t="shared" si="82"/>
        <v>0</v>
      </c>
      <c r="AN90" s="80">
        <f t="shared" si="83"/>
        <v>0.25</v>
      </c>
      <c r="AO90" s="41">
        <f t="shared" si="92"/>
        <v>1</v>
      </c>
      <c r="AP90" s="42">
        <v>23</v>
      </c>
      <c r="AQ90" s="43" t="str">
        <f t="shared" si="58"/>
        <v>Prepare to sleep in bed</v>
      </c>
      <c r="AR90" s="43"/>
      <c r="AS90" s="43" t="str">
        <f t="shared" si="84"/>
        <v>Prepare to sleep in bed</v>
      </c>
      <c r="AT90" s="41">
        <f t="shared" si="85"/>
        <v>0</v>
      </c>
      <c r="AU90" s="80">
        <f t="shared" si="86"/>
        <v>0.25</v>
      </c>
      <c r="AV90" s="41">
        <f t="shared" si="93"/>
        <v>1</v>
      </c>
      <c r="AW90" s="42">
        <v>23</v>
      </c>
      <c r="AX90" s="43" t="str">
        <f t="shared" si="59"/>
        <v>Prepare to sleep in bed</v>
      </c>
      <c r="AY90" s="43"/>
      <c r="AZ90" s="43" t="str">
        <f t="shared" si="87"/>
        <v>Prepare to sleep in bed</v>
      </c>
      <c r="BA90" s="45">
        <f t="shared" si="60"/>
        <v>0</v>
      </c>
      <c r="BB90" s="45">
        <f t="shared" si="61"/>
        <v>0.25</v>
      </c>
      <c r="BC90" s="45">
        <f t="shared" si="62"/>
        <v>1</v>
      </c>
      <c r="BD90" s="45">
        <f t="shared" si="63"/>
        <v>23</v>
      </c>
      <c r="BE90" s="45" t="str">
        <f t="shared" si="64"/>
        <v>Prepare to sleep in bed</v>
      </c>
      <c r="BF90" s="45">
        <f t="shared" si="65"/>
        <v>0</v>
      </c>
      <c r="BG90" s="46" t="str">
        <f t="shared" si="66"/>
        <v>Prepare to sleep in bed</v>
      </c>
    </row>
    <row r="91" spans="1:60" s="38" customFormat="1" ht="24">
      <c r="A91" s="56"/>
      <c r="B91" s="57"/>
      <c r="C91" s="47">
        <v>0.92708333333333304</v>
      </c>
      <c r="D91" s="48">
        <f t="shared" si="67"/>
        <v>91</v>
      </c>
      <c r="E91" s="83">
        <f t="shared" si="68"/>
        <v>0.5</v>
      </c>
      <c r="F91" s="48">
        <f t="shared" si="69"/>
        <v>2</v>
      </c>
      <c r="G91" s="49">
        <v>23</v>
      </c>
      <c r="H91" s="50" t="str">
        <f t="shared" si="53"/>
        <v>Prepare to sleep in bed</v>
      </c>
      <c r="I91" s="50"/>
      <c r="J91" s="50" t="str">
        <f t="shared" si="70"/>
        <v>Prepare to sleep in bed</v>
      </c>
      <c r="K91" s="48">
        <f t="shared" si="71"/>
        <v>91</v>
      </c>
      <c r="L91" s="81">
        <f t="shared" si="72"/>
        <v>0.5</v>
      </c>
      <c r="M91" s="48">
        <f t="shared" si="88"/>
        <v>2</v>
      </c>
      <c r="N91" s="49">
        <v>23</v>
      </c>
      <c r="O91" s="50" t="str">
        <f t="shared" si="94"/>
        <v>Prepare to sleep in bed</v>
      </c>
      <c r="P91" s="50"/>
      <c r="Q91" s="50" t="str">
        <f t="shared" si="73"/>
        <v>Prepare to sleep in bed</v>
      </c>
      <c r="R91" s="48">
        <f t="shared" si="74"/>
        <v>91</v>
      </c>
      <c r="S91" s="81">
        <f t="shared" si="75"/>
        <v>0.5</v>
      </c>
      <c r="T91" s="48">
        <f t="shared" si="89"/>
        <v>2</v>
      </c>
      <c r="U91" s="49">
        <v>23</v>
      </c>
      <c r="V91" s="50" t="str">
        <f t="shared" si="54"/>
        <v>Prepare to sleep in bed</v>
      </c>
      <c r="W91" s="50"/>
      <c r="X91" s="50" t="str">
        <f t="shared" si="76"/>
        <v>Prepare to sleep in bed</v>
      </c>
      <c r="Y91" s="48">
        <f t="shared" si="77"/>
        <v>91</v>
      </c>
      <c r="Z91" s="81">
        <f t="shared" si="78"/>
        <v>0.5</v>
      </c>
      <c r="AA91" s="48">
        <f t="shared" si="90"/>
        <v>2</v>
      </c>
      <c r="AB91" s="49">
        <v>23</v>
      </c>
      <c r="AC91" s="50" t="str">
        <f t="shared" si="55"/>
        <v>Prepare to sleep in bed</v>
      </c>
      <c r="AD91" s="50"/>
      <c r="AE91" s="50" t="str">
        <f t="shared" si="79"/>
        <v>Prepare to sleep in bed</v>
      </c>
      <c r="AF91" s="48">
        <f t="shared" si="80"/>
        <v>91</v>
      </c>
      <c r="AG91" s="81">
        <f t="shared" si="81"/>
        <v>0.5</v>
      </c>
      <c r="AH91" s="48">
        <f t="shared" si="91"/>
        <v>2</v>
      </c>
      <c r="AI91" s="49">
        <v>23</v>
      </c>
      <c r="AJ91" s="50" t="str">
        <f t="shared" si="56"/>
        <v>Prepare to sleep in bed</v>
      </c>
      <c r="AK91" s="50"/>
      <c r="AL91" s="50" t="str">
        <f t="shared" si="57"/>
        <v>Prepare to sleep in bed</v>
      </c>
      <c r="AM91" s="48">
        <f t="shared" si="82"/>
        <v>91</v>
      </c>
      <c r="AN91" s="81">
        <f t="shared" si="83"/>
        <v>0.5</v>
      </c>
      <c r="AO91" s="48">
        <f t="shared" si="92"/>
        <v>2</v>
      </c>
      <c r="AP91" s="49">
        <v>23</v>
      </c>
      <c r="AQ91" s="50" t="str">
        <f t="shared" si="58"/>
        <v>Prepare to sleep in bed</v>
      </c>
      <c r="AR91" s="50"/>
      <c r="AS91" s="50" t="str">
        <f t="shared" si="84"/>
        <v>Prepare to sleep in bed</v>
      </c>
      <c r="AT91" s="48">
        <f t="shared" si="85"/>
        <v>91</v>
      </c>
      <c r="AU91" s="81">
        <f t="shared" si="86"/>
        <v>0.5</v>
      </c>
      <c r="AV91" s="48">
        <f t="shared" si="93"/>
        <v>2</v>
      </c>
      <c r="AW91" s="49">
        <v>23</v>
      </c>
      <c r="AX91" s="50" t="str">
        <f t="shared" si="59"/>
        <v>Prepare to sleep in bed</v>
      </c>
      <c r="AY91" s="50"/>
      <c r="AZ91" s="50" t="str">
        <f t="shared" si="87"/>
        <v>Prepare to sleep in bed</v>
      </c>
      <c r="BA91" s="45">
        <f t="shared" si="60"/>
        <v>91</v>
      </c>
      <c r="BB91" s="45">
        <f t="shared" si="61"/>
        <v>0.5</v>
      </c>
      <c r="BC91" s="45">
        <f t="shared" si="62"/>
        <v>2</v>
      </c>
      <c r="BD91" s="45">
        <f t="shared" si="63"/>
        <v>23</v>
      </c>
      <c r="BE91" s="45" t="str">
        <f t="shared" si="64"/>
        <v>Prepare to sleep in bed</v>
      </c>
      <c r="BF91" s="45">
        <f t="shared" si="65"/>
        <v>0</v>
      </c>
      <c r="BG91" s="46" t="str">
        <f t="shared" si="66"/>
        <v>Prepare to sleep in bed</v>
      </c>
    </row>
    <row r="92" spans="1:60" s="38" customFormat="1" ht="24">
      <c r="A92" s="56"/>
      <c r="B92" s="57"/>
      <c r="C92" s="51">
        <v>0.9375</v>
      </c>
      <c r="D92" s="41">
        <f t="shared" si="67"/>
        <v>0</v>
      </c>
      <c r="E92" s="86">
        <f t="shared" si="68"/>
        <v>0.25</v>
      </c>
      <c r="F92" s="41">
        <f t="shared" si="69"/>
        <v>1</v>
      </c>
      <c r="G92" s="42"/>
      <c r="H92" s="43" t="str">
        <f t="shared" si="53"/>
        <v>Null</v>
      </c>
      <c r="I92" s="43"/>
      <c r="J92" s="43" t="str">
        <f t="shared" si="70"/>
        <v>Null</v>
      </c>
      <c r="K92" s="41">
        <f t="shared" si="71"/>
        <v>0</v>
      </c>
      <c r="L92" s="80">
        <f t="shared" si="72"/>
        <v>0.25</v>
      </c>
      <c r="M92" s="41">
        <f t="shared" si="88"/>
        <v>1</v>
      </c>
      <c r="N92" s="42"/>
      <c r="O92" s="43" t="str">
        <f t="shared" si="94"/>
        <v>Null</v>
      </c>
      <c r="P92" s="43"/>
      <c r="Q92" s="43" t="str">
        <f t="shared" si="73"/>
        <v>Null</v>
      </c>
      <c r="R92" s="41">
        <f t="shared" si="74"/>
        <v>0</v>
      </c>
      <c r="S92" s="80">
        <f t="shared" si="75"/>
        <v>0.25</v>
      </c>
      <c r="T92" s="41">
        <f t="shared" si="89"/>
        <v>1</v>
      </c>
      <c r="U92" s="42"/>
      <c r="V92" s="43" t="str">
        <f t="shared" si="54"/>
        <v>Null</v>
      </c>
      <c r="W92" s="43"/>
      <c r="X92" s="43" t="str">
        <f t="shared" si="76"/>
        <v>Null</v>
      </c>
      <c r="Y92" s="41">
        <f t="shared" si="77"/>
        <v>0</v>
      </c>
      <c r="Z92" s="80">
        <f t="shared" si="78"/>
        <v>0.25</v>
      </c>
      <c r="AA92" s="41">
        <f t="shared" si="90"/>
        <v>1</v>
      </c>
      <c r="AB92" s="42"/>
      <c r="AC92" s="43" t="str">
        <f t="shared" si="55"/>
        <v>Null</v>
      </c>
      <c r="AD92" s="43"/>
      <c r="AE92" s="43" t="str">
        <f t="shared" si="79"/>
        <v>Null</v>
      </c>
      <c r="AF92" s="41">
        <f t="shared" si="80"/>
        <v>0</v>
      </c>
      <c r="AG92" s="80">
        <f t="shared" si="81"/>
        <v>0.25</v>
      </c>
      <c r="AH92" s="41">
        <f t="shared" si="91"/>
        <v>1</v>
      </c>
      <c r="AI92" s="42"/>
      <c r="AJ92" s="43" t="str">
        <f t="shared" si="56"/>
        <v>Null</v>
      </c>
      <c r="AK92" s="43"/>
      <c r="AL92" s="43" t="str">
        <f t="shared" si="57"/>
        <v>Null</v>
      </c>
      <c r="AM92" s="41">
        <f t="shared" si="82"/>
        <v>0</v>
      </c>
      <c r="AN92" s="80">
        <f t="shared" si="83"/>
        <v>0.25</v>
      </c>
      <c r="AO92" s="41">
        <f t="shared" si="92"/>
        <v>1</v>
      </c>
      <c r="AP92" s="42"/>
      <c r="AQ92" s="43" t="str">
        <f t="shared" si="58"/>
        <v>Null</v>
      </c>
      <c r="AR92" s="43"/>
      <c r="AS92" s="43" t="str">
        <f t="shared" si="84"/>
        <v>Null</v>
      </c>
      <c r="AT92" s="41">
        <f t="shared" si="85"/>
        <v>0</v>
      </c>
      <c r="AU92" s="80">
        <f t="shared" si="86"/>
        <v>0.25</v>
      </c>
      <c r="AV92" s="41">
        <f t="shared" si="93"/>
        <v>1</v>
      </c>
      <c r="AW92" s="42"/>
      <c r="AX92" s="43" t="str">
        <f t="shared" si="59"/>
        <v>Null</v>
      </c>
      <c r="AY92" s="43"/>
      <c r="AZ92" s="43" t="str">
        <f t="shared" si="87"/>
        <v>Null</v>
      </c>
      <c r="BA92" s="45">
        <f t="shared" si="60"/>
        <v>0</v>
      </c>
      <c r="BB92" s="45">
        <f t="shared" si="61"/>
        <v>0.25</v>
      </c>
      <c r="BC92" s="45">
        <f t="shared" si="62"/>
        <v>1</v>
      </c>
      <c r="BD92" s="45">
        <f t="shared" si="63"/>
        <v>0</v>
      </c>
      <c r="BE92" s="45" t="str">
        <f t="shared" si="64"/>
        <v>Null</v>
      </c>
      <c r="BF92" s="45">
        <f t="shared" si="65"/>
        <v>0</v>
      </c>
      <c r="BG92" s="46" t="str">
        <f t="shared" si="66"/>
        <v>Null</v>
      </c>
    </row>
    <row r="93" spans="1:60" s="38" customFormat="1" ht="24">
      <c r="A93" s="56"/>
      <c r="B93" s="57"/>
      <c r="C93" s="47">
        <v>0.94791666666666696</v>
      </c>
      <c r="D93" s="48">
        <f t="shared" si="67"/>
        <v>0</v>
      </c>
      <c r="E93" s="83">
        <f t="shared" si="68"/>
        <v>0.5</v>
      </c>
      <c r="F93" s="48">
        <f t="shared" si="69"/>
        <v>2</v>
      </c>
      <c r="G93" s="49"/>
      <c r="H93" s="50" t="str">
        <f t="shared" si="53"/>
        <v>Null</v>
      </c>
      <c r="I93" s="50"/>
      <c r="J93" s="50" t="str">
        <f t="shared" si="70"/>
        <v>Null</v>
      </c>
      <c r="K93" s="48">
        <f t="shared" si="71"/>
        <v>0</v>
      </c>
      <c r="L93" s="81">
        <f t="shared" si="72"/>
        <v>0.5</v>
      </c>
      <c r="M93" s="48">
        <f t="shared" si="88"/>
        <v>2</v>
      </c>
      <c r="N93" s="49"/>
      <c r="O93" s="50" t="str">
        <f t="shared" si="94"/>
        <v>Null</v>
      </c>
      <c r="P93" s="50"/>
      <c r="Q93" s="50" t="str">
        <f t="shared" si="73"/>
        <v>Null</v>
      </c>
      <c r="R93" s="48">
        <f t="shared" si="74"/>
        <v>0</v>
      </c>
      <c r="S93" s="81">
        <f t="shared" si="75"/>
        <v>0.5</v>
      </c>
      <c r="T93" s="48">
        <f t="shared" si="89"/>
        <v>2</v>
      </c>
      <c r="U93" s="49"/>
      <c r="V93" s="50" t="str">
        <f t="shared" si="54"/>
        <v>Null</v>
      </c>
      <c r="W93" s="50"/>
      <c r="X93" s="50" t="str">
        <f t="shared" si="76"/>
        <v>Null</v>
      </c>
      <c r="Y93" s="48">
        <f t="shared" si="77"/>
        <v>0</v>
      </c>
      <c r="Z93" s="81">
        <f t="shared" si="78"/>
        <v>0.5</v>
      </c>
      <c r="AA93" s="48">
        <f t="shared" si="90"/>
        <v>2</v>
      </c>
      <c r="AB93" s="49"/>
      <c r="AC93" s="50" t="str">
        <f t="shared" si="55"/>
        <v>Null</v>
      </c>
      <c r="AD93" s="50"/>
      <c r="AE93" s="50" t="str">
        <f t="shared" si="79"/>
        <v>Null</v>
      </c>
      <c r="AF93" s="48">
        <f t="shared" si="80"/>
        <v>0</v>
      </c>
      <c r="AG93" s="81">
        <f t="shared" si="81"/>
        <v>0.5</v>
      </c>
      <c r="AH93" s="48">
        <f t="shared" si="91"/>
        <v>2</v>
      </c>
      <c r="AI93" s="49"/>
      <c r="AJ93" s="50" t="str">
        <f t="shared" si="56"/>
        <v>Null</v>
      </c>
      <c r="AK93" s="50"/>
      <c r="AL93" s="50" t="str">
        <f t="shared" si="57"/>
        <v>Null</v>
      </c>
      <c r="AM93" s="48">
        <f t="shared" si="82"/>
        <v>0</v>
      </c>
      <c r="AN93" s="81">
        <f t="shared" si="83"/>
        <v>0.5</v>
      </c>
      <c r="AO93" s="48">
        <f t="shared" si="92"/>
        <v>2</v>
      </c>
      <c r="AP93" s="49"/>
      <c r="AQ93" s="50" t="str">
        <f t="shared" si="58"/>
        <v>Null</v>
      </c>
      <c r="AR93" s="50"/>
      <c r="AS93" s="50" t="str">
        <f t="shared" si="84"/>
        <v>Null</v>
      </c>
      <c r="AT93" s="48">
        <f t="shared" si="85"/>
        <v>0</v>
      </c>
      <c r="AU93" s="81">
        <f t="shared" si="86"/>
        <v>0.5</v>
      </c>
      <c r="AV93" s="48">
        <f t="shared" si="93"/>
        <v>2</v>
      </c>
      <c r="AW93" s="49"/>
      <c r="AX93" s="50" t="str">
        <f t="shared" si="59"/>
        <v>Null</v>
      </c>
      <c r="AY93" s="50"/>
      <c r="AZ93" s="50" t="str">
        <f t="shared" si="87"/>
        <v>Null</v>
      </c>
      <c r="BA93" s="45">
        <f t="shared" si="60"/>
        <v>0</v>
      </c>
      <c r="BB93" s="45">
        <f t="shared" si="61"/>
        <v>0.5</v>
      </c>
      <c r="BC93" s="45">
        <f t="shared" si="62"/>
        <v>2</v>
      </c>
      <c r="BD93" s="45">
        <f t="shared" si="63"/>
        <v>0</v>
      </c>
      <c r="BE93" s="45" t="str">
        <f t="shared" si="64"/>
        <v>Null</v>
      </c>
      <c r="BF93" s="45">
        <f t="shared" si="65"/>
        <v>0</v>
      </c>
      <c r="BG93" s="46" t="str">
        <f t="shared" si="66"/>
        <v>Null</v>
      </c>
    </row>
    <row r="94" spans="1:60" s="38" customFormat="1" ht="24">
      <c r="A94" s="56"/>
      <c r="B94" s="57"/>
      <c r="C94" s="51">
        <v>0.95833333333333304</v>
      </c>
      <c r="D94" s="41">
        <f t="shared" si="67"/>
        <v>0</v>
      </c>
      <c r="E94" s="86">
        <f t="shared" si="68"/>
        <v>0.75</v>
      </c>
      <c r="F94" s="41">
        <f t="shared" si="69"/>
        <v>3</v>
      </c>
      <c r="G94" s="42"/>
      <c r="H94" s="43" t="str">
        <f t="shared" si="53"/>
        <v>Null</v>
      </c>
      <c r="I94" s="43"/>
      <c r="J94" s="43" t="str">
        <f t="shared" si="70"/>
        <v>Null</v>
      </c>
      <c r="K94" s="41">
        <f t="shared" si="71"/>
        <v>0</v>
      </c>
      <c r="L94" s="80">
        <f t="shared" si="72"/>
        <v>0.75</v>
      </c>
      <c r="M94" s="41">
        <f t="shared" si="88"/>
        <v>3</v>
      </c>
      <c r="N94" s="42"/>
      <c r="O94" s="43" t="str">
        <f t="shared" si="94"/>
        <v>Null</v>
      </c>
      <c r="P94" s="43"/>
      <c r="Q94" s="43" t="str">
        <f t="shared" si="73"/>
        <v>Null</v>
      </c>
      <c r="R94" s="41">
        <f t="shared" si="74"/>
        <v>0</v>
      </c>
      <c r="S94" s="80">
        <f t="shared" si="75"/>
        <v>0.75</v>
      </c>
      <c r="T94" s="41">
        <f t="shared" si="89"/>
        <v>3</v>
      </c>
      <c r="U94" s="42"/>
      <c r="V94" s="43" t="str">
        <f t="shared" si="54"/>
        <v>Null</v>
      </c>
      <c r="W94" s="43"/>
      <c r="X94" s="43" t="str">
        <f t="shared" si="76"/>
        <v>Null</v>
      </c>
      <c r="Y94" s="41">
        <f t="shared" si="77"/>
        <v>0</v>
      </c>
      <c r="Z94" s="80">
        <f t="shared" si="78"/>
        <v>0.75</v>
      </c>
      <c r="AA94" s="41">
        <f t="shared" si="90"/>
        <v>3</v>
      </c>
      <c r="AB94" s="42"/>
      <c r="AC94" s="43" t="str">
        <f t="shared" si="55"/>
        <v>Null</v>
      </c>
      <c r="AD94" s="43"/>
      <c r="AE94" s="43" t="str">
        <f t="shared" si="79"/>
        <v>Null</v>
      </c>
      <c r="AF94" s="41">
        <f t="shared" si="80"/>
        <v>0</v>
      </c>
      <c r="AG94" s="80">
        <f t="shared" si="81"/>
        <v>0.75</v>
      </c>
      <c r="AH94" s="41">
        <f t="shared" si="91"/>
        <v>3</v>
      </c>
      <c r="AI94" s="42"/>
      <c r="AJ94" s="43" t="str">
        <f t="shared" si="56"/>
        <v>Null</v>
      </c>
      <c r="AK94" s="43"/>
      <c r="AL94" s="43" t="str">
        <f t="shared" si="57"/>
        <v>Null</v>
      </c>
      <c r="AM94" s="41">
        <f t="shared" si="82"/>
        <v>0</v>
      </c>
      <c r="AN94" s="80">
        <f t="shared" si="83"/>
        <v>0.75</v>
      </c>
      <c r="AO94" s="41">
        <f t="shared" si="92"/>
        <v>3</v>
      </c>
      <c r="AP94" s="42"/>
      <c r="AQ94" s="43" t="str">
        <f t="shared" si="58"/>
        <v>Null</v>
      </c>
      <c r="AR94" s="43"/>
      <c r="AS94" s="43" t="str">
        <f t="shared" si="84"/>
        <v>Null</v>
      </c>
      <c r="AT94" s="41">
        <f t="shared" si="85"/>
        <v>0</v>
      </c>
      <c r="AU94" s="80">
        <f t="shared" si="86"/>
        <v>0.75</v>
      </c>
      <c r="AV94" s="41">
        <f t="shared" si="93"/>
        <v>3</v>
      </c>
      <c r="AW94" s="42"/>
      <c r="AX94" s="43" t="str">
        <f t="shared" si="59"/>
        <v>Null</v>
      </c>
      <c r="AY94" s="43"/>
      <c r="AZ94" s="43" t="str">
        <f t="shared" si="87"/>
        <v>Null</v>
      </c>
      <c r="BA94" s="45">
        <f t="shared" si="60"/>
        <v>0</v>
      </c>
      <c r="BB94" s="45">
        <f t="shared" si="61"/>
        <v>0.75</v>
      </c>
      <c r="BC94" s="45">
        <f t="shared" si="62"/>
        <v>3</v>
      </c>
      <c r="BD94" s="45">
        <f t="shared" si="63"/>
        <v>0</v>
      </c>
      <c r="BE94" s="45" t="str">
        <f t="shared" si="64"/>
        <v>Null</v>
      </c>
      <c r="BF94" s="45">
        <f t="shared" si="65"/>
        <v>0</v>
      </c>
      <c r="BG94" s="46" t="str">
        <f t="shared" si="66"/>
        <v>Null</v>
      </c>
      <c r="BH94" s="58"/>
    </row>
    <row r="95" spans="1:60" s="38" customFormat="1" ht="24">
      <c r="A95" s="56"/>
      <c r="B95" s="57"/>
      <c r="C95" s="47">
        <v>0.96875</v>
      </c>
      <c r="D95" s="48">
        <f t="shared" si="67"/>
        <v>0</v>
      </c>
      <c r="E95" s="83">
        <f t="shared" si="68"/>
        <v>1</v>
      </c>
      <c r="F95" s="48">
        <f t="shared" si="69"/>
        <v>4</v>
      </c>
      <c r="G95" s="49"/>
      <c r="H95" s="50" t="str">
        <f t="shared" si="53"/>
        <v>Null</v>
      </c>
      <c r="I95" s="50"/>
      <c r="J95" s="50" t="str">
        <f t="shared" si="70"/>
        <v>Null</v>
      </c>
      <c r="K95" s="48">
        <f t="shared" si="71"/>
        <v>0</v>
      </c>
      <c r="L95" s="81">
        <f t="shared" si="72"/>
        <v>1</v>
      </c>
      <c r="M95" s="48">
        <f t="shared" si="88"/>
        <v>4</v>
      </c>
      <c r="N95" s="49"/>
      <c r="O95" s="50" t="str">
        <f t="shared" si="94"/>
        <v>Null</v>
      </c>
      <c r="P95" s="50"/>
      <c r="Q95" s="50" t="str">
        <f t="shared" si="73"/>
        <v>Null</v>
      </c>
      <c r="R95" s="48">
        <f t="shared" si="74"/>
        <v>0</v>
      </c>
      <c r="S95" s="81">
        <f t="shared" si="75"/>
        <v>1</v>
      </c>
      <c r="T95" s="48">
        <f t="shared" si="89"/>
        <v>4</v>
      </c>
      <c r="U95" s="49"/>
      <c r="V95" s="50" t="str">
        <f t="shared" si="54"/>
        <v>Null</v>
      </c>
      <c r="W95" s="50"/>
      <c r="X95" s="50" t="str">
        <f t="shared" si="76"/>
        <v>Null</v>
      </c>
      <c r="Y95" s="48">
        <f t="shared" si="77"/>
        <v>0</v>
      </c>
      <c r="Z95" s="81">
        <f t="shared" si="78"/>
        <v>1</v>
      </c>
      <c r="AA95" s="48">
        <f t="shared" si="90"/>
        <v>4</v>
      </c>
      <c r="AB95" s="49"/>
      <c r="AC95" s="50" t="str">
        <f t="shared" si="55"/>
        <v>Null</v>
      </c>
      <c r="AD95" s="50"/>
      <c r="AE95" s="50" t="str">
        <f t="shared" si="79"/>
        <v>Null</v>
      </c>
      <c r="AF95" s="48">
        <f t="shared" si="80"/>
        <v>0</v>
      </c>
      <c r="AG95" s="81">
        <f t="shared" si="81"/>
        <v>1</v>
      </c>
      <c r="AH95" s="48">
        <f t="shared" si="91"/>
        <v>4</v>
      </c>
      <c r="AI95" s="49"/>
      <c r="AJ95" s="50" t="str">
        <f t="shared" si="56"/>
        <v>Null</v>
      </c>
      <c r="AK95" s="50"/>
      <c r="AL95" s="50" t="str">
        <f t="shared" si="57"/>
        <v>Null</v>
      </c>
      <c r="AM95" s="48">
        <f t="shared" si="82"/>
        <v>0</v>
      </c>
      <c r="AN95" s="81">
        <f t="shared" si="83"/>
        <v>1</v>
      </c>
      <c r="AO95" s="48">
        <f t="shared" si="92"/>
        <v>4</v>
      </c>
      <c r="AP95" s="49"/>
      <c r="AQ95" s="50" t="str">
        <f t="shared" si="58"/>
        <v>Null</v>
      </c>
      <c r="AR95" s="50"/>
      <c r="AS95" s="50" t="str">
        <f t="shared" si="84"/>
        <v>Null</v>
      </c>
      <c r="AT95" s="48">
        <f t="shared" si="85"/>
        <v>0</v>
      </c>
      <c r="AU95" s="81">
        <f t="shared" si="86"/>
        <v>1</v>
      </c>
      <c r="AV95" s="48">
        <f t="shared" si="93"/>
        <v>4</v>
      </c>
      <c r="AW95" s="49"/>
      <c r="AX95" s="50" t="str">
        <f t="shared" si="59"/>
        <v>Null</v>
      </c>
      <c r="AY95" s="50"/>
      <c r="AZ95" s="50" t="str">
        <f t="shared" si="87"/>
        <v>Null</v>
      </c>
      <c r="BA95" s="45">
        <f t="shared" si="60"/>
        <v>0</v>
      </c>
      <c r="BB95" s="45">
        <f t="shared" si="61"/>
        <v>1</v>
      </c>
      <c r="BC95" s="45">
        <f t="shared" si="62"/>
        <v>4</v>
      </c>
      <c r="BD95" s="45">
        <f t="shared" si="63"/>
        <v>0</v>
      </c>
      <c r="BE95" s="45" t="str">
        <f t="shared" si="64"/>
        <v>Null</v>
      </c>
      <c r="BF95" s="45">
        <f t="shared" si="65"/>
        <v>0</v>
      </c>
      <c r="BG95" s="46" t="str">
        <f t="shared" si="66"/>
        <v>Null</v>
      </c>
    </row>
    <row r="96" spans="1:60" s="38" customFormat="1" ht="24">
      <c r="A96" s="56"/>
      <c r="B96" s="57"/>
      <c r="C96" s="51">
        <v>0.97916666666666696</v>
      </c>
      <c r="D96" s="41">
        <f t="shared" si="67"/>
        <v>0</v>
      </c>
      <c r="E96" s="86">
        <f t="shared" si="68"/>
        <v>1.25</v>
      </c>
      <c r="F96" s="41">
        <f t="shared" si="69"/>
        <v>5</v>
      </c>
      <c r="G96" s="42"/>
      <c r="H96" s="43" t="str">
        <f t="shared" si="53"/>
        <v>Null</v>
      </c>
      <c r="I96" s="43"/>
      <c r="J96" s="43" t="str">
        <f t="shared" si="70"/>
        <v>Null</v>
      </c>
      <c r="K96" s="41">
        <f t="shared" si="71"/>
        <v>0</v>
      </c>
      <c r="L96" s="80">
        <f t="shared" si="72"/>
        <v>1.25</v>
      </c>
      <c r="M96" s="41">
        <f t="shared" si="88"/>
        <v>5</v>
      </c>
      <c r="N96" s="42"/>
      <c r="O96" s="43" t="str">
        <f t="shared" si="94"/>
        <v>Null</v>
      </c>
      <c r="P96" s="43"/>
      <c r="Q96" s="43" t="str">
        <f t="shared" si="73"/>
        <v>Null</v>
      </c>
      <c r="R96" s="41">
        <f t="shared" si="74"/>
        <v>0</v>
      </c>
      <c r="S96" s="80">
        <f t="shared" si="75"/>
        <v>1.25</v>
      </c>
      <c r="T96" s="41">
        <f t="shared" si="89"/>
        <v>5</v>
      </c>
      <c r="U96" s="42"/>
      <c r="V96" s="43" t="str">
        <f t="shared" si="54"/>
        <v>Null</v>
      </c>
      <c r="W96" s="43"/>
      <c r="X96" s="43" t="str">
        <f t="shared" si="76"/>
        <v>Null</v>
      </c>
      <c r="Y96" s="41">
        <f t="shared" si="77"/>
        <v>0</v>
      </c>
      <c r="Z96" s="80">
        <f t="shared" si="78"/>
        <v>1.25</v>
      </c>
      <c r="AA96" s="41">
        <f t="shared" si="90"/>
        <v>5</v>
      </c>
      <c r="AB96" s="42"/>
      <c r="AC96" s="43" t="str">
        <f t="shared" si="55"/>
        <v>Null</v>
      </c>
      <c r="AD96" s="43"/>
      <c r="AE96" s="43" t="str">
        <f t="shared" si="79"/>
        <v>Null</v>
      </c>
      <c r="AF96" s="41">
        <f t="shared" si="80"/>
        <v>0</v>
      </c>
      <c r="AG96" s="80">
        <f t="shared" si="81"/>
        <v>1.25</v>
      </c>
      <c r="AH96" s="41">
        <f t="shared" si="91"/>
        <v>5</v>
      </c>
      <c r="AI96" s="42"/>
      <c r="AJ96" s="43" t="str">
        <f t="shared" si="56"/>
        <v>Null</v>
      </c>
      <c r="AK96" s="43"/>
      <c r="AL96" s="43" t="str">
        <f t="shared" si="57"/>
        <v>Null</v>
      </c>
      <c r="AM96" s="41">
        <f t="shared" si="82"/>
        <v>0</v>
      </c>
      <c r="AN96" s="80">
        <f t="shared" si="83"/>
        <v>1.25</v>
      </c>
      <c r="AO96" s="41">
        <f t="shared" si="92"/>
        <v>5</v>
      </c>
      <c r="AP96" s="42"/>
      <c r="AQ96" s="43" t="str">
        <f t="shared" si="58"/>
        <v>Null</v>
      </c>
      <c r="AR96" s="43"/>
      <c r="AS96" s="43" t="str">
        <f t="shared" si="84"/>
        <v>Null</v>
      </c>
      <c r="AT96" s="41">
        <f t="shared" si="85"/>
        <v>0</v>
      </c>
      <c r="AU96" s="80">
        <f t="shared" si="86"/>
        <v>1.25</v>
      </c>
      <c r="AV96" s="41">
        <f t="shared" si="93"/>
        <v>5</v>
      </c>
      <c r="AW96" s="42"/>
      <c r="AX96" s="43" t="str">
        <f t="shared" si="59"/>
        <v>Null</v>
      </c>
      <c r="AY96" s="43"/>
      <c r="AZ96" s="43" t="str">
        <f t="shared" si="87"/>
        <v>Null</v>
      </c>
      <c r="BA96" s="45">
        <f t="shared" si="60"/>
        <v>0</v>
      </c>
      <c r="BB96" s="45">
        <f t="shared" si="61"/>
        <v>1.25</v>
      </c>
      <c r="BC96" s="45">
        <f t="shared" si="62"/>
        <v>5</v>
      </c>
      <c r="BD96" s="45">
        <f t="shared" si="63"/>
        <v>0</v>
      </c>
      <c r="BE96" s="45" t="str">
        <f t="shared" si="64"/>
        <v>Null</v>
      </c>
      <c r="BF96" s="45">
        <f t="shared" si="65"/>
        <v>0</v>
      </c>
      <c r="BG96" s="46" t="str">
        <f t="shared" si="66"/>
        <v>Null</v>
      </c>
    </row>
    <row r="97" spans="1:59" s="38" customFormat="1" ht="24">
      <c r="A97" s="56"/>
      <c r="B97" s="57"/>
      <c r="C97" s="59">
        <v>0.98958333333333304</v>
      </c>
      <c r="D97" s="60">
        <f>IF(M2=1,ROW(F97),0)</f>
        <v>0</v>
      </c>
      <c r="E97" s="83">
        <f t="shared" si="68"/>
        <v>1.5</v>
      </c>
      <c r="F97" s="60">
        <f t="shared" si="69"/>
        <v>6</v>
      </c>
      <c r="G97" s="49"/>
      <c r="H97" s="61" t="str">
        <f t="shared" si="53"/>
        <v>Null</v>
      </c>
      <c r="I97" s="61"/>
      <c r="J97" s="61" t="str">
        <f t="shared" si="70"/>
        <v>Null</v>
      </c>
      <c r="K97" s="60">
        <f>IF(T2=1,ROW(M97),0)</f>
        <v>0</v>
      </c>
      <c r="L97" s="81">
        <f t="shared" si="72"/>
        <v>1.5</v>
      </c>
      <c r="M97" s="60">
        <f t="shared" si="88"/>
        <v>6</v>
      </c>
      <c r="N97" s="49"/>
      <c r="O97" s="61" t="str">
        <f t="shared" si="94"/>
        <v>Null</v>
      </c>
      <c r="P97" s="61"/>
      <c r="Q97" s="61" t="str">
        <f t="shared" si="73"/>
        <v>Null</v>
      </c>
      <c r="R97" s="60">
        <f>IF(AA2=1,ROW(T97),0)</f>
        <v>0</v>
      </c>
      <c r="S97" s="81">
        <f t="shared" si="75"/>
        <v>1.5</v>
      </c>
      <c r="T97" s="60">
        <f t="shared" si="89"/>
        <v>6</v>
      </c>
      <c r="U97" s="49"/>
      <c r="V97" s="61" t="str">
        <f t="shared" si="54"/>
        <v>Null</v>
      </c>
      <c r="W97" s="61"/>
      <c r="X97" s="61" t="str">
        <f t="shared" si="76"/>
        <v>Null</v>
      </c>
      <c r="Y97" s="60">
        <f>IF(AH2=1,ROW(AA97),0)</f>
        <v>0</v>
      </c>
      <c r="Z97" s="81">
        <f t="shared" si="78"/>
        <v>1.5</v>
      </c>
      <c r="AA97" s="60">
        <f t="shared" si="90"/>
        <v>6</v>
      </c>
      <c r="AB97" s="49"/>
      <c r="AC97" s="61" t="str">
        <f t="shared" si="55"/>
        <v>Null</v>
      </c>
      <c r="AD97" s="61"/>
      <c r="AE97" s="61" t="str">
        <f t="shared" si="79"/>
        <v>Null</v>
      </c>
      <c r="AF97" s="60">
        <f>IF(AO2=1,ROW(AH97),0)</f>
        <v>0</v>
      </c>
      <c r="AG97" s="81">
        <f t="shared" si="81"/>
        <v>1.5</v>
      </c>
      <c r="AH97" s="60">
        <f t="shared" si="91"/>
        <v>6</v>
      </c>
      <c r="AI97" s="49"/>
      <c r="AJ97" s="61" t="str">
        <f t="shared" si="56"/>
        <v>Null</v>
      </c>
      <c r="AK97" s="61"/>
      <c r="AL97" s="61" t="str">
        <f t="shared" si="57"/>
        <v>Null</v>
      </c>
      <c r="AM97" s="60">
        <f>IF(AV2=1,ROW(AO97),0)</f>
        <v>0</v>
      </c>
      <c r="AN97" s="81">
        <f t="shared" si="83"/>
        <v>1.5</v>
      </c>
      <c r="AO97" s="60">
        <f t="shared" si="92"/>
        <v>6</v>
      </c>
      <c r="AP97" s="49"/>
      <c r="AQ97" s="61" t="str">
        <f t="shared" si="58"/>
        <v>Null</v>
      </c>
      <c r="AR97" s="61"/>
      <c r="AS97" s="61" t="str">
        <f t="shared" si="84"/>
        <v>Null</v>
      </c>
      <c r="AT97" s="60">
        <f>IF(F2=1,ROW(AV97),0)</f>
        <v>0</v>
      </c>
      <c r="AU97" s="81">
        <f t="shared" si="86"/>
        <v>1.5</v>
      </c>
      <c r="AV97" s="60">
        <f t="shared" si="93"/>
        <v>6</v>
      </c>
      <c r="AW97" s="49"/>
      <c r="AX97" s="61" t="str">
        <f t="shared" si="59"/>
        <v>Null</v>
      </c>
      <c r="AY97" s="61"/>
      <c r="AZ97" s="61" t="str">
        <f t="shared" si="87"/>
        <v>Null</v>
      </c>
      <c r="BA97" s="62">
        <f t="shared" si="60"/>
        <v>0</v>
      </c>
      <c r="BB97" s="62">
        <f t="shared" si="61"/>
        <v>1.5</v>
      </c>
      <c r="BC97" s="62">
        <f t="shared" si="62"/>
        <v>6</v>
      </c>
      <c r="BD97" s="62">
        <f t="shared" si="63"/>
        <v>0</v>
      </c>
      <c r="BE97" s="62" t="str">
        <f t="shared" si="64"/>
        <v>Null</v>
      </c>
      <c r="BF97" s="62">
        <f t="shared" si="65"/>
        <v>0</v>
      </c>
      <c r="BG97" s="63" t="str">
        <f t="shared" si="66"/>
        <v>Null</v>
      </c>
    </row>
    <row r="98" spans="1:59" s="38" customFormat="1" ht="24">
      <c r="A98" s="56"/>
      <c r="B98" s="57"/>
      <c r="C98" s="64"/>
      <c r="D98" s="65"/>
      <c r="E98" s="83"/>
      <c r="F98" s="65"/>
      <c r="G98" s="66"/>
      <c r="H98" s="67"/>
      <c r="I98" s="67"/>
      <c r="J98" s="67"/>
      <c r="K98" s="65"/>
      <c r="L98" s="82"/>
      <c r="M98" s="65"/>
      <c r="N98" s="66"/>
      <c r="O98" s="67"/>
      <c r="P98" s="67"/>
      <c r="Q98" s="67"/>
      <c r="R98" s="65"/>
      <c r="S98" s="82"/>
      <c r="T98" s="65"/>
      <c r="U98" s="66"/>
      <c r="V98" s="67"/>
      <c r="W98" s="67"/>
      <c r="X98" s="67"/>
      <c r="Y98" s="65"/>
      <c r="Z98" s="82"/>
      <c r="AA98" s="65"/>
      <c r="AB98" s="66"/>
      <c r="AC98" s="67"/>
      <c r="AD98" s="67"/>
      <c r="AE98" s="67"/>
      <c r="AF98" s="65"/>
      <c r="AG98" s="82"/>
      <c r="AH98" s="65"/>
      <c r="AI98" s="66"/>
      <c r="AJ98" s="67"/>
      <c r="AK98" s="67"/>
      <c r="AL98" s="67"/>
      <c r="AM98" s="65"/>
      <c r="AN98" s="82"/>
      <c r="AO98" s="65"/>
      <c r="AP98" s="66"/>
      <c r="AQ98" s="67"/>
      <c r="AR98" s="67"/>
      <c r="AS98" s="67"/>
      <c r="AT98" s="65"/>
      <c r="AU98" s="82"/>
      <c r="AV98" s="65"/>
      <c r="AW98" s="66"/>
      <c r="AX98" s="67"/>
      <c r="AY98" s="67"/>
      <c r="AZ98" s="68"/>
      <c r="BA98" s="58"/>
      <c r="BB98" s="58"/>
      <c r="BC98" s="58"/>
      <c r="BD98" s="58"/>
      <c r="BE98" s="58"/>
      <c r="BF98" s="58"/>
      <c r="BG98" s="58"/>
    </row>
    <row r="99" spans="1:59" s="38" customFormat="1" ht="21">
      <c r="A99" s="56" t="s">
        <v>0</v>
      </c>
      <c r="B99" s="57" t="s">
        <v>1</v>
      </c>
      <c r="C99" s="56" t="s">
        <v>2</v>
      </c>
      <c r="D99" s="56" t="s">
        <v>3</v>
      </c>
      <c r="E99" s="83" t="s">
        <v>6</v>
      </c>
      <c r="F99" s="56" t="s">
        <v>7</v>
      </c>
      <c r="G99" s="56" t="s">
        <v>8</v>
      </c>
      <c r="H99" s="56" t="s">
        <v>9</v>
      </c>
      <c r="I99" s="56" t="s">
        <v>10</v>
      </c>
      <c r="J99" s="56" t="s">
        <v>11</v>
      </c>
      <c r="K99" s="56" t="s">
        <v>42</v>
      </c>
      <c r="L99" s="83" t="s">
        <v>43</v>
      </c>
      <c r="M99" s="56" t="s">
        <v>44</v>
      </c>
      <c r="N99" s="56" t="s">
        <v>45</v>
      </c>
      <c r="O99" s="56" t="s">
        <v>46</v>
      </c>
      <c r="P99" s="56" t="s">
        <v>47</v>
      </c>
      <c r="Q99" s="56" t="s">
        <v>48</v>
      </c>
      <c r="R99" s="56" t="s">
        <v>49</v>
      </c>
      <c r="S99" s="83" t="s">
        <v>50</v>
      </c>
      <c r="T99" s="56" t="s">
        <v>51</v>
      </c>
      <c r="U99" s="56" t="s">
        <v>52</v>
      </c>
      <c r="V99" s="56" t="s">
        <v>53</v>
      </c>
      <c r="W99" s="56" t="s">
        <v>54</v>
      </c>
      <c r="X99" s="56" t="s">
        <v>55</v>
      </c>
      <c r="Y99" s="56" t="s">
        <v>56</v>
      </c>
      <c r="Z99" s="83" t="s">
        <v>57</v>
      </c>
      <c r="AA99" s="56" t="s">
        <v>58</v>
      </c>
      <c r="AB99" s="56" t="s">
        <v>59</v>
      </c>
      <c r="AC99" s="56" t="s">
        <v>60</v>
      </c>
      <c r="AD99" s="56" t="s">
        <v>61</v>
      </c>
      <c r="AE99" s="56" t="s">
        <v>62</v>
      </c>
      <c r="AF99" s="56" t="s">
        <v>63</v>
      </c>
      <c r="AG99" s="83" t="s">
        <v>64</v>
      </c>
      <c r="AH99" s="56" t="s">
        <v>65</v>
      </c>
      <c r="AI99" s="56" t="s">
        <v>66</v>
      </c>
      <c r="AJ99" s="56" t="s">
        <v>67</v>
      </c>
      <c r="AK99" s="56" t="s">
        <v>68</v>
      </c>
      <c r="AL99" s="56" t="s">
        <v>69</v>
      </c>
      <c r="AM99" s="56" t="s">
        <v>70</v>
      </c>
      <c r="AN99" s="83" t="s">
        <v>71</v>
      </c>
      <c r="AO99" s="56" t="s">
        <v>72</v>
      </c>
      <c r="AP99" s="56" t="s">
        <v>5</v>
      </c>
      <c r="AQ99" s="56" t="s">
        <v>4</v>
      </c>
      <c r="AR99" s="56" t="s">
        <v>73</v>
      </c>
      <c r="AS99" s="56" t="s">
        <v>74</v>
      </c>
      <c r="AT99" s="56" t="s">
        <v>75</v>
      </c>
      <c r="AU99" s="83" t="s">
        <v>76</v>
      </c>
      <c r="AV99" s="56" t="s">
        <v>77</v>
      </c>
      <c r="AW99" s="56" t="s">
        <v>78</v>
      </c>
      <c r="AX99" s="56" t="s">
        <v>79</v>
      </c>
      <c r="AY99" s="56" t="s">
        <v>80</v>
      </c>
      <c r="AZ99" s="69"/>
      <c r="BA99" s="31"/>
    </row>
    <row r="100" spans="1:59" s="71" customFormat="1" ht="21">
      <c r="A100" s="56"/>
      <c r="B100" s="57"/>
      <c r="C100" s="56"/>
      <c r="D100" s="56"/>
      <c r="E100" s="84"/>
      <c r="F100" s="56"/>
      <c r="G100" s="56"/>
      <c r="H100" s="56"/>
      <c r="I100" s="56"/>
      <c r="J100" s="56"/>
      <c r="K100" s="56"/>
      <c r="L100" s="84"/>
      <c r="M100" s="56"/>
      <c r="N100" s="56"/>
      <c r="O100" s="56"/>
      <c r="P100" s="56"/>
      <c r="Q100" s="56"/>
      <c r="R100" s="56"/>
      <c r="S100" s="84"/>
      <c r="T100" s="56"/>
      <c r="U100" s="56"/>
      <c r="V100" s="56"/>
      <c r="W100" s="56"/>
      <c r="X100" s="56"/>
      <c r="Y100" s="56"/>
      <c r="Z100" s="84"/>
      <c r="AA100" s="56"/>
      <c r="AB100" s="56"/>
      <c r="AC100" s="56"/>
      <c r="AD100" s="56"/>
      <c r="AE100" s="56"/>
      <c r="AF100" s="56"/>
      <c r="AG100" s="84"/>
      <c r="AH100" s="56"/>
      <c r="AI100" s="56"/>
      <c r="AJ100" s="56"/>
      <c r="AK100" s="56"/>
      <c r="AL100" s="56"/>
      <c r="AM100" s="56"/>
      <c r="AN100" s="84"/>
      <c r="AO100" s="56"/>
      <c r="AP100" s="56"/>
      <c r="AQ100" s="56"/>
      <c r="AR100" s="56"/>
      <c r="AS100" s="56"/>
      <c r="AT100" s="56"/>
      <c r="AU100" s="84"/>
      <c r="AV100" s="56"/>
      <c r="AW100" s="56"/>
      <c r="AX100" s="56"/>
      <c r="AY100" s="56">
        <f>Table4656565656565[[#This Row],[Column49]]*0.85</f>
        <v>0</v>
      </c>
      <c r="AZ100" s="70"/>
      <c r="BA100" s="31"/>
    </row>
    <row r="101" spans="1:59" s="71" customFormat="1" ht="29">
      <c r="A101" s="72" t="s">
        <v>81</v>
      </c>
      <c r="B101" s="31"/>
      <c r="C101" s="31"/>
      <c r="D101" s="31"/>
      <c r="E101" s="84"/>
      <c r="F101" s="73"/>
      <c r="G101" s="74">
        <f>SUMPRODUCT(COUNTIF(G2:G97,msecon))/4</f>
        <v>12.25</v>
      </c>
      <c r="H101" s="74"/>
      <c r="I101" s="74"/>
      <c r="J101" s="74"/>
      <c r="K101" s="74"/>
      <c r="L101" s="84"/>
      <c r="M101" s="73"/>
      <c r="N101" s="74">
        <f>SUMPRODUCT(COUNTIF(N2:N97,msecon))/4</f>
        <v>12.25</v>
      </c>
      <c r="O101" s="74"/>
      <c r="P101" s="74"/>
      <c r="Q101" s="74"/>
      <c r="R101" s="74"/>
      <c r="S101" s="84"/>
      <c r="T101" s="73">
        <f>SUMPRODUCT(COUNTIF(T2:T97,msecon))/4</f>
        <v>3.5</v>
      </c>
      <c r="U101" s="74">
        <f>SUMPRODUCT(COUNTIF(U2:U97,msecon))/4</f>
        <v>12.25</v>
      </c>
      <c r="V101" s="74"/>
      <c r="W101" s="74"/>
      <c r="X101" s="74"/>
      <c r="Y101" s="74"/>
      <c r="Z101" s="84"/>
      <c r="AA101" s="73"/>
      <c r="AB101" s="74">
        <f>SUMPRODUCT(COUNTIF(AB2:AB97,msecon))/4</f>
        <v>12.25</v>
      </c>
      <c r="AC101" s="74"/>
      <c r="AD101" s="74"/>
      <c r="AE101" s="74"/>
      <c r="AF101" s="74"/>
      <c r="AG101" s="84"/>
      <c r="AH101" s="73"/>
      <c r="AI101" s="74">
        <f>SUMPRODUCT(COUNTIF(AI2:AI97,msecon))/4</f>
        <v>12.25</v>
      </c>
      <c r="AJ101" s="74"/>
      <c r="AK101" s="74"/>
      <c r="AL101" s="74"/>
      <c r="AM101" s="74"/>
      <c r="AN101" s="84"/>
      <c r="AO101" s="73"/>
      <c r="AP101" s="74">
        <f>SUMPRODUCT(COUNTIF(AP2:AP97,msecon))/4</f>
        <v>12.25</v>
      </c>
      <c r="AQ101" s="74"/>
      <c r="AR101" s="74"/>
      <c r="AS101" s="74"/>
      <c r="AT101" s="74"/>
      <c r="AU101" s="84"/>
      <c r="AV101" s="73"/>
      <c r="AW101" s="74">
        <f>SUMPRODUCT(COUNTIF(AW2:AW97,msecon))/4</f>
        <v>12.25</v>
      </c>
      <c r="AX101" s="74"/>
      <c r="AY101" s="74">
        <f>Table4656565656565[[#This Row],[Column49]]*0.85</f>
        <v>10.4125</v>
      </c>
      <c r="AZ101" s="70"/>
      <c r="BA101" s="31"/>
    </row>
    <row r="102" spans="1:59" s="71" customFormat="1" ht="29">
      <c r="A102" s="72" t="s">
        <v>82</v>
      </c>
      <c r="B102" s="31"/>
      <c r="C102" s="31"/>
      <c r="D102" s="31"/>
      <c r="E102" s="85"/>
      <c r="F102" s="73"/>
      <c r="G102" s="74">
        <f>G101</f>
        <v>12.25</v>
      </c>
      <c r="H102" s="74"/>
      <c r="I102" s="74"/>
      <c r="J102" s="74"/>
      <c r="K102" s="74"/>
      <c r="L102" s="85"/>
      <c r="M102" s="73"/>
      <c r="N102" s="74">
        <f>N101+G102</f>
        <v>24.5</v>
      </c>
      <c r="O102" s="74"/>
      <c r="P102" s="74"/>
      <c r="Q102" s="74"/>
      <c r="R102" s="74"/>
      <c r="S102" s="85"/>
      <c r="T102" s="73">
        <f>T101+N102</f>
        <v>28</v>
      </c>
      <c r="U102" s="74">
        <f>U101+N102</f>
        <v>36.75</v>
      </c>
      <c r="V102" s="74"/>
      <c r="W102" s="74"/>
      <c r="X102" s="74"/>
      <c r="Y102" s="74"/>
      <c r="Z102" s="85"/>
      <c r="AA102" s="73"/>
      <c r="AB102" s="74">
        <f>AB101+U102</f>
        <v>49</v>
      </c>
      <c r="AC102" s="74"/>
      <c r="AD102" s="74"/>
      <c r="AE102" s="74"/>
      <c r="AF102" s="74"/>
      <c r="AG102" s="85"/>
      <c r="AH102" s="73"/>
      <c r="AI102" s="74">
        <f>AI101+AB102</f>
        <v>61.25</v>
      </c>
      <c r="AJ102" s="74"/>
      <c r="AK102" s="74"/>
      <c r="AL102" s="74"/>
      <c r="AM102" s="74"/>
      <c r="AN102" s="85"/>
      <c r="AO102" s="73"/>
      <c r="AP102" s="74">
        <f>AP101+AI102</f>
        <v>73.5</v>
      </c>
      <c r="AQ102" s="74"/>
      <c r="AR102" s="74"/>
      <c r="AS102" s="74"/>
      <c r="AT102" s="74"/>
      <c r="AU102" s="85"/>
      <c r="AV102" s="73"/>
      <c r="AW102" s="74">
        <f>AW101+AP102</f>
        <v>85.75</v>
      </c>
      <c r="AX102" s="74"/>
      <c r="AY102" s="74">
        <f>Table4656565656565[[#This Row],[Column49]]*0.85</f>
        <v>72.887500000000003</v>
      </c>
      <c r="AZ102" s="70"/>
      <c r="BA102" s="31"/>
    </row>
    <row r="103" spans="1:59" s="71" customFormat="1" ht="29">
      <c r="A103" s="72" t="s">
        <v>83</v>
      </c>
      <c r="B103" s="31"/>
      <c r="C103" s="31"/>
      <c r="D103" s="31"/>
      <c r="E103" s="85"/>
      <c r="F103" s="73"/>
      <c r="G103" s="74">
        <f>SUMPRODUCT(COUNTIF(G2:G97,pcexceptsleep))/4</f>
        <v>1.75</v>
      </c>
      <c r="H103" s="74"/>
      <c r="I103" s="74"/>
      <c r="J103" s="74"/>
      <c r="K103" s="74"/>
      <c r="L103" s="85"/>
      <c r="M103" s="73"/>
      <c r="N103" s="74">
        <f>SUMPRODUCT(COUNTIF(N2:N97,pcexceptsleep))/4</f>
        <v>1.75</v>
      </c>
      <c r="O103" s="74"/>
      <c r="P103" s="74"/>
      <c r="Q103" s="74"/>
      <c r="R103" s="74"/>
      <c r="S103" s="85"/>
      <c r="T103" s="73">
        <f>SUMPRODUCT(COUNTIF(T2:T97,pcexceptsleep))/4</f>
        <v>8.75</v>
      </c>
      <c r="U103" s="74">
        <f>SUMPRODUCT(COUNTIF(U2:U97,pcexceptsleep))/4</f>
        <v>1.75</v>
      </c>
      <c r="V103" s="74"/>
      <c r="W103" s="74"/>
      <c r="X103" s="74"/>
      <c r="Y103" s="74"/>
      <c r="Z103" s="85"/>
      <c r="AA103" s="73"/>
      <c r="AB103" s="74">
        <f>SUMPRODUCT(COUNTIF(AB2:AB97,pcexceptsleep))/4</f>
        <v>1.75</v>
      </c>
      <c r="AC103" s="74"/>
      <c r="AD103" s="74"/>
      <c r="AE103" s="74"/>
      <c r="AF103" s="74"/>
      <c r="AG103" s="85"/>
      <c r="AH103" s="73"/>
      <c r="AI103" s="74">
        <f>SUMPRODUCT(COUNTIF(AI2:AI97,pcexceptsleep))/4</f>
        <v>1.75</v>
      </c>
      <c r="AJ103" s="74"/>
      <c r="AK103" s="74"/>
      <c r="AL103" s="74"/>
      <c r="AM103" s="74"/>
      <c r="AN103" s="85"/>
      <c r="AO103" s="73"/>
      <c r="AP103" s="74">
        <f>SUMPRODUCT(COUNTIF(AP2:AP97,pcexceptsleep))/4</f>
        <v>1.75</v>
      </c>
      <c r="AQ103" s="74"/>
      <c r="AR103" s="74"/>
      <c r="AS103" s="74"/>
      <c r="AT103" s="74"/>
      <c r="AU103" s="85"/>
      <c r="AV103" s="73"/>
      <c r="AW103" s="74">
        <f>SUMPRODUCT(COUNTIF(AW2:AW97,pcexceptsleep))/4</f>
        <v>1.75</v>
      </c>
      <c r="AX103" s="74"/>
      <c r="AY103" s="74">
        <f>Table4656565656565[[#This Row],[Column49]]*0.85</f>
        <v>1.4875</v>
      </c>
      <c r="AZ103" s="70"/>
      <c r="BA103" s="31"/>
    </row>
    <row r="104" spans="1:59" s="71" customFormat="1" ht="29">
      <c r="A104" s="72" t="s">
        <v>84</v>
      </c>
      <c r="B104" s="31"/>
      <c r="C104" s="31"/>
      <c r="D104" s="31"/>
      <c r="E104" s="85"/>
      <c r="F104" s="73"/>
      <c r="G104" s="74">
        <f>G103</f>
        <v>1.75</v>
      </c>
      <c r="H104" s="74"/>
      <c r="I104" s="74"/>
      <c r="J104" s="74"/>
      <c r="K104" s="74"/>
      <c r="L104" s="85"/>
      <c r="M104" s="73"/>
      <c r="N104" s="74">
        <f>N103+G104</f>
        <v>3.5</v>
      </c>
      <c r="O104" s="74"/>
      <c r="P104" s="74"/>
      <c r="Q104" s="74"/>
      <c r="R104" s="74"/>
      <c r="S104" s="85"/>
      <c r="T104" s="73">
        <f>T103+N104</f>
        <v>12.25</v>
      </c>
      <c r="U104" s="74">
        <f>U103+N104</f>
        <v>5.25</v>
      </c>
      <c r="V104" s="74"/>
      <c r="W104" s="74"/>
      <c r="X104" s="74"/>
      <c r="Y104" s="74"/>
      <c r="Z104" s="85"/>
      <c r="AA104" s="73"/>
      <c r="AB104" s="74">
        <f>AB103+U104</f>
        <v>7</v>
      </c>
      <c r="AC104" s="74"/>
      <c r="AD104" s="74"/>
      <c r="AE104" s="74"/>
      <c r="AF104" s="74"/>
      <c r="AG104" s="85"/>
      <c r="AH104" s="73"/>
      <c r="AI104" s="74">
        <f>AI103+AB104</f>
        <v>8.75</v>
      </c>
      <c r="AJ104" s="74"/>
      <c r="AK104" s="74"/>
      <c r="AL104" s="74"/>
      <c r="AM104" s="74"/>
      <c r="AN104" s="85"/>
      <c r="AO104" s="73"/>
      <c r="AP104" s="74">
        <f>AP103+AI104</f>
        <v>10.5</v>
      </c>
      <c r="AQ104" s="74"/>
      <c r="AR104" s="74"/>
      <c r="AS104" s="74"/>
      <c r="AT104" s="74"/>
      <c r="AU104" s="85"/>
      <c r="AV104" s="73"/>
      <c r="AW104" s="74">
        <f>AW103+AP104</f>
        <v>12.25</v>
      </c>
      <c r="AX104" s="74"/>
      <c r="AY104" s="74">
        <f>Table4656565656565[[#This Row],[Column49]]*0.85</f>
        <v>10.4125</v>
      </c>
      <c r="AZ104" s="70"/>
      <c r="BA104" s="31"/>
    </row>
    <row r="105" spans="1:59" s="71" customFormat="1" ht="29">
      <c r="A105" s="72" t="s">
        <v>85</v>
      </c>
      <c r="B105" s="31"/>
      <c r="C105" s="64"/>
      <c r="D105" s="31"/>
      <c r="E105" s="85"/>
      <c r="F105" s="73"/>
      <c r="G105" s="74">
        <f>SUMPRODUCT(COUNTIF(G2:G97,allfreetime))/4</f>
        <v>3</v>
      </c>
      <c r="H105" s="74"/>
      <c r="I105" s="74"/>
      <c r="J105" s="74"/>
      <c r="K105" s="74"/>
      <c r="L105" s="85"/>
      <c r="M105" s="73"/>
      <c r="N105" s="74">
        <f>SUMPRODUCT(COUNTIF(N2:N97,allfreetime))/4</f>
        <v>3</v>
      </c>
      <c r="O105" s="74"/>
      <c r="P105" s="74"/>
      <c r="Q105" s="74"/>
      <c r="R105" s="74"/>
      <c r="S105" s="85"/>
      <c r="T105" s="73">
        <f>SUMPRODUCT(COUNTIF(T2:T97,allfreetime))/4</f>
        <v>2</v>
      </c>
      <c r="U105" s="74">
        <f>SUMPRODUCT(COUNTIF(U2:U97,allfreetime))/4</f>
        <v>3</v>
      </c>
      <c r="V105" s="74"/>
      <c r="W105" s="74"/>
      <c r="X105" s="74"/>
      <c r="Y105" s="74"/>
      <c r="Z105" s="85"/>
      <c r="AA105" s="73"/>
      <c r="AB105" s="74">
        <f>SUMPRODUCT(COUNTIF(AB2:AB97,allfreetime))/4</f>
        <v>3</v>
      </c>
      <c r="AC105" s="74"/>
      <c r="AD105" s="74"/>
      <c r="AE105" s="74"/>
      <c r="AF105" s="74"/>
      <c r="AG105" s="85"/>
      <c r="AH105" s="73"/>
      <c r="AI105" s="74">
        <f>SUMPRODUCT(COUNTIF(AI2:AI97,allfreetime))/4</f>
        <v>3</v>
      </c>
      <c r="AJ105" s="74"/>
      <c r="AK105" s="74"/>
      <c r="AL105" s="74"/>
      <c r="AM105" s="74"/>
      <c r="AN105" s="85"/>
      <c r="AO105" s="73"/>
      <c r="AP105" s="74">
        <f>SUMPRODUCT(COUNTIF(AP2:AP97,allfreetime))/4</f>
        <v>3</v>
      </c>
      <c r="AQ105" s="74"/>
      <c r="AR105" s="74"/>
      <c r="AS105" s="74"/>
      <c r="AT105" s="74"/>
      <c r="AU105" s="85"/>
      <c r="AV105" s="73"/>
      <c r="AW105" s="74">
        <f>SUMPRODUCT(COUNTIF(AW2:AW97,allfreetime))/4</f>
        <v>3</v>
      </c>
      <c r="AX105" s="74"/>
      <c r="AY105" s="74">
        <f>Table4656565656565[[#This Row],[Column49]]*0.85</f>
        <v>2.5499999999999998</v>
      </c>
      <c r="AZ105" s="70"/>
      <c r="BA105" s="31"/>
    </row>
    <row r="106" spans="1:59" s="71" customFormat="1" ht="29">
      <c r="A106" s="72" t="s">
        <v>86</v>
      </c>
      <c r="B106" s="31"/>
      <c r="C106" s="64"/>
      <c r="D106" s="31"/>
      <c r="E106" s="85"/>
      <c r="F106" s="73"/>
      <c r="G106" s="74">
        <f>SUMPRODUCT(COUNTIF(G2:G97,endofdayfree))/4</f>
        <v>0</v>
      </c>
      <c r="H106" s="74"/>
      <c r="I106" s="74"/>
      <c r="J106" s="74"/>
      <c r="K106" s="74"/>
      <c r="L106" s="85"/>
      <c r="M106" s="73"/>
      <c r="N106" s="74">
        <f>SUMPRODUCT(COUNTIF(N2:N97,endofdayfree))/4</f>
        <v>0</v>
      </c>
      <c r="O106" s="74"/>
      <c r="P106" s="74"/>
      <c r="Q106" s="74"/>
      <c r="R106" s="74"/>
      <c r="S106" s="85"/>
      <c r="T106" s="73">
        <f>SUMPRODUCT(COUNTIF(T2:T97,endofdayfree))/4</f>
        <v>0.5</v>
      </c>
      <c r="U106" s="74">
        <f>SUMPRODUCT(COUNTIF(U2:U97,endofdayfree))/4</f>
        <v>0</v>
      </c>
      <c r="V106" s="74"/>
      <c r="W106" s="74"/>
      <c r="X106" s="74"/>
      <c r="Y106" s="74"/>
      <c r="Z106" s="85"/>
      <c r="AA106" s="73"/>
      <c r="AB106" s="74">
        <f>SUMPRODUCT(COUNTIF(AB2:AB97,endofdayfree))/4</f>
        <v>0</v>
      </c>
      <c r="AC106" s="74"/>
      <c r="AD106" s="74"/>
      <c r="AE106" s="74"/>
      <c r="AF106" s="74"/>
      <c r="AG106" s="85"/>
      <c r="AH106" s="73"/>
      <c r="AI106" s="74">
        <f>SUMPRODUCT(COUNTIF(AI2:AI97,endofdayfree))/4</f>
        <v>0</v>
      </c>
      <c r="AJ106" s="74"/>
      <c r="AK106" s="74"/>
      <c r="AL106" s="74"/>
      <c r="AM106" s="74"/>
      <c r="AN106" s="85"/>
      <c r="AO106" s="73"/>
      <c r="AP106" s="74">
        <f>SUMPRODUCT(COUNTIF(AP2:AP97,endofdayfree))/4</f>
        <v>0</v>
      </c>
      <c r="AQ106" s="74"/>
      <c r="AR106" s="74"/>
      <c r="AS106" s="74"/>
      <c r="AT106" s="74"/>
      <c r="AU106" s="85"/>
      <c r="AV106" s="73"/>
      <c r="AW106" s="74">
        <f>SUMPRODUCT(COUNTIF(AW2:AW97,endofdayfree))/4</f>
        <v>0</v>
      </c>
      <c r="AX106" s="74"/>
      <c r="AY106" s="74">
        <f>Table4656565656565[[#This Row],[Column49]]*0.85</f>
        <v>0</v>
      </c>
      <c r="AZ106" s="70"/>
      <c r="BA106" s="31"/>
    </row>
    <row r="107" spans="1:59" s="71" customFormat="1" ht="29">
      <c r="A107" s="72" t="s">
        <v>87</v>
      </c>
      <c r="B107" s="31"/>
      <c r="C107" s="64"/>
      <c r="D107" s="31"/>
      <c r="E107" s="85"/>
      <c r="F107" s="73"/>
      <c r="G107" s="74">
        <f>G105-G106</f>
        <v>3</v>
      </c>
      <c r="H107" s="74"/>
      <c r="I107" s="74"/>
      <c r="J107" s="74"/>
      <c r="K107" s="74"/>
      <c r="L107" s="85"/>
      <c r="M107" s="73"/>
      <c r="N107" s="74">
        <f>N105-N106</f>
        <v>3</v>
      </c>
      <c r="O107" s="74"/>
      <c r="P107" s="74"/>
      <c r="Q107" s="74"/>
      <c r="R107" s="74"/>
      <c r="S107" s="85"/>
      <c r="T107" s="73"/>
      <c r="U107" s="74">
        <f>U105-U106</f>
        <v>3</v>
      </c>
      <c r="V107" s="74"/>
      <c r="W107" s="74"/>
      <c r="X107" s="74"/>
      <c r="Y107" s="74"/>
      <c r="Z107" s="85"/>
      <c r="AA107" s="73"/>
      <c r="AB107" s="74">
        <f>AB105-AB106</f>
        <v>3</v>
      </c>
      <c r="AC107" s="74"/>
      <c r="AD107" s="74"/>
      <c r="AE107" s="74"/>
      <c r="AF107" s="74"/>
      <c r="AG107" s="85"/>
      <c r="AH107" s="73"/>
      <c r="AI107" s="74">
        <f>AI105-AI106</f>
        <v>3</v>
      </c>
      <c r="AJ107" s="74"/>
      <c r="AK107" s="74"/>
      <c r="AL107" s="74"/>
      <c r="AM107" s="74"/>
      <c r="AN107" s="85"/>
      <c r="AO107" s="73"/>
      <c r="AP107" s="74">
        <f>AP105-AP106</f>
        <v>3</v>
      </c>
      <c r="AQ107" s="74"/>
      <c r="AR107" s="74"/>
      <c r="AS107" s="74"/>
      <c r="AT107" s="74"/>
      <c r="AU107" s="85"/>
      <c r="AV107" s="73"/>
      <c r="AW107" s="74">
        <f>AW105-AW106</f>
        <v>3</v>
      </c>
      <c r="AX107" s="74"/>
      <c r="AY107" s="74">
        <f>Table4656565656565[[#This Row],[Column49]]*0.85</f>
        <v>2.5499999999999998</v>
      </c>
      <c r="AZ107" s="70"/>
      <c r="BA107" s="31"/>
    </row>
    <row r="108" spans="1:59" s="71" customFormat="1" ht="29">
      <c r="A108" s="72" t="s">
        <v>88</v>
      </c>
      <c r="B108" s="31"/>
      <c r="C108" s="64"/>
      <c r="D108" s="31"/>
      <c r="E108" s="85"/>
      <c r="F108" s="73"/>
      <c r="G108" s="74">
        <f>G105</f>
        <v>3</v>
      </c>
      <c r="H108" s="74"/>
      <c r="I108" s="74"/>
      <c r="J108" s="74"/>
      <c r="K108" s="74"/>
      <c r="L108" s="85"/>
      <c r="M108" s="73"/>
      <c r="N108" s="74">
        <f>N105+G108</f>
        <v>6</v>
      </c>
      <c r="O108" s="74"/>
      <c r="P108" s="74"/>
      <c r="Q108" s="74"/>
      <c r="R108" s="74"/>
      <c r="S108" s="85"/>
      <c r="T108" s="73">
        <f>T105+N108</f>
        <v>8</v>
      </c>
      <c r="U108" s="74">
        <f>U105+N108</f>
        <v>9</v>
      </c>
      <c r="V108" s="74"/>
      <c r="W108" s="74"/>
      <c r="X108" s="74"/>
      <c r="Y108" s="74"/>
      <c r="Z108" s="85"/>
      <c r="AA108" s="73"/>
      <c r="AB108" s="74">
        <f>AB105+U108</f>
        <v>12</v>
      </c>
      <c r="AC108" s="74"/>
      <c r="AD108" s="74"/>
      <c r="AE108" s="74"/>
      <c r="AF108" s="74"/>
      <c r="AG108" s="85"/>
      <c r="AH108" s="73"/>
      <c r="AI108" s="74">
        <f>AI105+AB108</f>
        <v>15</v>
      </c>
      <c r="AJ108" s="74"/>
      <c r="AK108" s="74"/>
      <c r="AL108" s="74"/>
      <c r="AM108" s="74"/>
      <c r="AN108" s="85"/>
      <c r="AO108" s="73"/>
      <c r="AP108" s="74">
        <f>AP105+AI108</f>
        <v>18</v>
      </c>
      <c r="AQ108" s="74"/>
      <c r="AR108" s="74"/>
      <c r="AS108" s="74"/>
      <c r="AT108" s="74"/>
      <c r="AU108" s="85"/>
      <c r="AV108" s="73"/>
      <c r="AW108" s="74">
        <f>AW105+AP108</f>
        <v>21</v>
      </c>
      <c r="AX108" s="74"/>
      <c r="AY108" s="74">
        <f>Table4656565656565[[#This Row],[Column49]]*0.85</f>
        <v>17.849999999999998</v>
      </c>
      <c r="AZ108" s="70"/>
      <c r="BA108" s="31"/>
    </row>
    <row r="109" spans="1:59" s="38" customFormat="1" ht="29">
      <c r="A109" s="72" t="s">
        <v>89</v>
      </c>
      <c r="B109" s="31"/>
      <c r="C109" s="31"/>
      <c r="D109" s="31"/>
      <c r="E109" s="85"/>
      <c r="F109" s="73"/>
      <c r="G109" s="74">
        <f>G106</f>
        <v>0</v>
      </c>
      <c r="H109" s="74"/>
      <c r="I109" s="74"/>
      <c r="J109" s="74"/>
      <c r="K109" s="74"/>
      <c r="L109" s="85"/>
      <c r="M109" s="73"/>
      <c r="N109" s="74">
        <f>N106+G109</f>
        <v>0</v>
      </c>
      <c r="O109" s="74"/>
      <c r="P109" s="74"/>
      <c r="Q109" s="74"/>
      <c r="R109" s="74"/>
      <c r="S109" s="85"/>
      <c r="T109" s="73">
        <f>T106+N109</f>
        <v>0.5</v>
      </c>
      <c r="U109" s="74">
        <f>U106+N109</f>
        <v>0</v>
      </c>
      <c r="V109" s="74"/>
      <c r="W109" s="74"/>
      <c r="X109" s="74"/>
      <c r="Y109" s="74"/>
      <c r="Z109" s="85"/>
      <c r="AA109" s="73"/>
      <c r="AB109" s="74">
        <f>AB106+U109</f>
        <v>0</v>
      </c>
      <c r="AC109" s="74"/>
      <c r="AD109" s="74"/>
      <c r="AE109" s="74"/>
      <c r="AF109" s="74"/>
      <c r="AG109" s="85"/>
      <c r="AH109" s="73"/>
      <c r="AI109" s="74">
        <f>AI106+AB109</f>
        <v>0</v>
      </c>
      <c r="AJ109" s="74"/>
      <c r="AK109" s="74"/>
      <c r="AL109" s="74"/>
      <c r="AM109" s="74"/>
      <c r="AN109" s="85"/>
      <c r="AO109" s="73"/>
      <c r="AP109" s="74">
        <f>AP106+AI109</f>
        <v>0</v>
      </c>
      <c r="AQ109" s="74"/>
      <c r="AR109" s="74"/>
      <c r="AS109" s="74"/>
      <c r="AT109" s="74"/>
      <c r="AU109" s="85"/>
      <c r="AV109" s="73"/>
      <c r="AW109" s="74">
        <f>AW106+AP109</f>
        <v>0</v>
      </c>
      <c r="AX109" s="74"/>
      <c r="AY109" s="74">
        <f>Table4656565656565[[#This Row],[Column49]]*0.85</f>
        <v>0</v>
      </c>
      <c r="AZ109" s="69"/>
      <c r="BA109" s="31"/>
    </row>
    <row r="110" spans="1:59" s="38" customFormat="1" ht="29">
      <c r="A110" s="72" t="s">
        <v>90</v>
      </c>
      <c r="B110" s="31"/>
      <c r="C110" s="31"/>
      <c r="D110" s="31"/>
      <c r="E110" s="85"/>
      <c r="F110" s="73"/>
      <c r="G110" s="74">
        <f>SUMPRODUCT(COUNTIF(G2:G97,longfree))/4</f>
        <v>0</v>
      </c>
      <c r="H110" s="74"/>
      <c r="I110" s="74"/>
      <c r="J110" s="74"/>
      <c r="K110" s="74"/>
      <c r="L110" s="85"/>
      <c r="M110" s="73"/>
      <c r="N110" s="74">
        <f>SUMPRODUCT(COUNTIF(N2:N97,longfree))/4</f>
        <v>0</v>
      </c>
      <c r="O110" s="74"/>
      <c r="P110" s="74"/>
      <c r="Q110" s="74"/>
      <c r="R110" s="74"/>
      <c r="S110" s="85"/>
      <c r="T110" s="73"/>
      <c r="U110" s="74">
        <f>SUMPRODUCT(COUNTIF(U2:U97,longfree))/4</f>
        <v>0</v>
      </c>
      <c r="V110" s="74"/>
      <c r="W110" s="74"/>
      <c r="X110" s="74"/>
      <c r="Y110" s="74"/>
      <c r="Z110" s="85"/>
      <c r="AA110" s="73"/>
      <c r="AB110" s="74">
        <f>SUMPRODUCT(COUNTIF(AB2:AB97,longfree))/4</f>
        <v>0</v>
      </c>
      <c r="AC110" s="74"/>
      <c r="AD110" s="74"/>
      <c r="AE110" s="74"/>
      <c r="AF110" s="74"/>
      <c r="AG110" s="85"/>
      <c r="AH110" s="73"/>
      <c r="AI110" s="74">
        <f>SUMPRODUCT(COUNTIF(AI2:AI97,longfree))/4</f>
        <v>0</v>
      </c>
      <c r="AJ110" s="74"/>
      <c r="AK110" s="74"/>
      <c r="AL110" s="74"/>
      <c r="AM110" s="74"/>
      <c r="AN110" s="85"/>
      <c r="AO110" s="73"/>
      <c r="AP110" s="74">
        <f>SUMPRODUCT(COUNTIF(AP2:AP97,longfree))/4</f>
        <v>0</v>
      </c>
      <c r="AQ110" s="74"/>
      <c r="AR110" s="74"/>
      <c r="AS110" s="74"/>
      <c r="AT110" s="74"/>
      <c r="AU110" s="85"/>
      <c r="AV110" s="73"/>
      <c r="AW110" s="74">
        <f>SUMPRODUCT(COUNTIF(AW2:AW97,longfree))/4</f>
        <v>0</v>
      </c>
      <c r="AX110" s="74"/>
      <c r="AY110" s="74">
        <f>Table4656565656565[[#This Row],[Column49]]*0.85</f>
        <v>0</v>
      </c>
      <c r="AZ110" s="69"/>
      <c r="BA110" s="31"/>
    </row>
    <row r="111" spans="1:59" s="38" customFormat="1" ht="29">
      <c r="A111" s="72" t="s">
        <v>91</v>
      </c>
      <c r="B111" s="31"/>
      <c r="C111" s="31"/>
      <c r="D111" s="31"/>
      <c r="E111" s="85"/>
      <c r="F111" s="73"/>
      <c r="G111" s="74">
        <f>G110</f>
        <v>0</v>
      </c>
      <c r="H111" s="74"/>
      <c r="I111" s="74"/>
      <c r="J111" s="74"/>
      <c r="K111" s="74"/>
      <c r="L111" s="85"/>
      <c r="M111" s="73"/>
      <c r="N111" s="74">
        <f>Table4656565656565[[#This Row],[Column7]]+N110</f>
        <v>0</v>
      </c>
      <c r="O111" s="74"/>
      <c r="P111" s="74"/>
      <c r="Q111" s="74"/>
      <c r="R111" s="74"/>
      <c r="S111" s="85"/>
      <c r="T111" s="73"/>
      <c r="U111" s="74">
        <f>Table4656565656565[[#This Row],[Column7]]+U110</f>
        <v>0</v>
      </c>
      <c r="V111" s="74"/>
      <c r="W111" s="74"/>
      <c r="X111" s="74"/>
      <c r="Y111" s="74"/>
      <c r="Z111" s="85"/>
      <c r="AA111" s="73"/>
      <c r="AB111" s="74">
        <f>Table4656565656565[[#This Row],[Column7]]+AB110</f>
        <v>0</v>
      </c>
      <c r="AC111" s="74"/>
      <c r="AD111" s="74"/>
      <c r="AE111" s="74"/>
      <c r="AF111" s="74"/>
      <c r="AG111" s="85"/>
      <c r="AH111" s="73"/>
      <c r="AI111" s="74">
        <f>Table4656565656565[[#This Row],[Column7]]+AI110</f>
        <v>0</v>
      </c>
      <c r="AJ111" s="74"/>
      <c r="AK111" s="74"/>
      <c r="AL111" s="74"/>
      <c r="AM111" s="74"/>
      <c r="AN111" s="85"/>
      <c r="AO111" s="73"/>
      <c r="AP111" s="74">
        <f>Table4656565656565[[#This Row],[Column7]]+AP110</f>
        <v>0</v>
      </c>
      <c r="AQ111" s="74"/>
      <c r="AR111" s="74"/>
      <c r="AS111" s="74"/>
      <c r="AT111" s="74"/>
      <c r="AU111" s="85"/>
      <c r="AV111" s="73"/>
      <c r="AW111" s="74">
        <f>Table4656565656565[[#This Row],[Column7]]+AW110</f>
        <v>0</v>
      </c>
      <c r="AX111" s="74"/>
      <c r="AY111" s="74">
        <f>Table4656565656565[[#This Row],[Column49]]*0.85</f>
        <v>0</v>
      </c>
      <c r="AZ111" s="69"/>
      <c r="BA111" s="31"/>
    </row>
    <row r="112" spans="1:59" s="38" customFormat="1" ht="29">
      <c r="A112" s="72" t="s">
        <v>92</v>
      </c>
      <c r="B112" s="31"/>
      <c r="C112" s="31"/>
      <c r="D112" s="31"/>
      <c r="E112" s="85"/>
      <c r="F112" s="73"/>
      <c r="G112" s="74">
        <f>SUMPRODUCT(COUNTIF(G2:G97,sleep))/4</f>
        <v>0</v>
      </c>
      <c r="H112" s="74"/>
      <c r="I112" s="74"/>
      <c r="J112" s="74"/>
      <c r="K112" s="74"/>
      <c r="L112" s="85"/>
      <c r="M112" s="73"/>
      <c r="N112" s="74">
        <f>SUMPRODUCT(COUNTIF(N2:N97,sleep))/4</f>
        <v>0</v>
      </c>
      <c r="O112" s="74"/>
      <c r="P112" s="74"/>
      <c r="Q112" s="74"/>
      <c r="R112" s="74"/>
      <c r="S112" s="85"/>
      <c r="T112" s="73">
        <f>SUMPRODUCT(COUNTIF(T2:T97,sleep))/4</f>
        <v>1</v>
      </c>
      <c r="U112" s="74">
        <f>SUMPRODUCT(COUNTIF(U2:U97,sleep))/4</f>
        <v>0</v>
      </c>
      <c r="V112" s="74"/>
      <c r="W112" s="74"/>
      <c r="X112" s="74"/>
      <c r="Y112" s="74"/>
      <c r="Z112" s="85"/>
      <c r="AA112" s="73"/>
      <c r="AB112" s="74">
        <f>SUMPRODUCT(COUNTIF(AB2:AB97,sleep))/4</f>
        <v>0</v>
      </c>
      <c r="AC112" s="74"/>
      <c r="AD112" s="74"/>
      <c r="AE112" s="74"/>
      <c r="AF112" s="74"/>
      <c r="AG112" s="85"/>
      <c r="AH112" s="73"/>
      <c r="AI112" s="74">
        <f>SUMPRODUCT(COUNTIF(AI2:AI97,sleep))/4</f>
        <v>0</v>
      </c>
      <c r="AJ112" s="74"/>
      <c r="AK112" s="74"/>
      <c r="AL112" s="74"/>
      <c r="AM112" s="74"/>
      <c r="AN112" s="85"/>
      <c r="AO112" s="73"/>
      <c r="AP112" s="74">
        <f>SUMPRODUCT(COUNTIF(AP2:AP97,sleep))/4</f>
        <v>0</v>
      </c>
      <c r="AQ112" s="74"/>
      <c r="AR112" s="74"/>
      <c r="AS112" s="74"/>
      <c r="AT112" s="74"/>
      <c r="AU112" s="85"/>
      <c r="AV112" s="73"/>
      <c r="AW112" s="74">
        <f>SUMPRODUCT(COUNTIF(AW2:AW97,sleep))/4</f>
        <v>0</v>
      </c>
      <c r="AX112" s="74"/>
      <c r="AY112" s="74">
        <f>Table4656565656565[[#This Row],[Column49]]*0.85</f>
        <v>0</v>
      </c>
      <c r="AZ112" s="69"/>
      <c r="BA112" s="31"/>
    </row>
    <row r="113" spans="1:53" s="38" customFormat="1" ht="29">
      <c r="A113" s="72" t="s">
        <v>93</v>
      </c>
      <c r="B113" s="31"/>
      <c r="C113" s="31"/>
      <c r="D113" s="31"/>
      <c r="E113" s="85"/>
      <c r="F113" s="73"/>
      <c r="G113" s="74">
        <f>G112</f>
        <v>0</v>
      </c>
      <c r="H113" s="74"/>
      <c r="I113" s="74"/>
      <c r="J113" s="74"/>
      <c r="K113" s="74"/>
      <c r="L113" s="85"/>
      <c r="M113" s="73"/>
      <c r="N113" s="74">
        <f>N112+G113</f>
        <v>0</v>
      </c>
      <c r="O113" s="74"/>
      <c r="P113" s="74"/>
      <c r="Q113" s="74"/>
      <c r="R113" s="74"/>
      <c r="S113" s="85"/>
      <c r="T113" s="73">
        <f>T112+N113</f>
        <v>1</v>
      </c>
      <c r="U113" s="74">
        <f>U112+N113</f>
        <v>0</v>
      </c>
      <c r="V113" s="74"/>
      <c r="W113" s="74"/>
      <c r="X113" s="74"/>
      <c r="Y113" s="74"/>
      <c r="Z113" s="85"/>
      <c r="AA113" s="73"/>
      <c r="AB113" s="74">
        <f>AB112+U113</f>
        <v>0</v>
      </c>
      <c r="AC113" s="74"/>
      <c r="AD113" s="74"/>
      <c r="AE113" s="74"/>
      <c r="AF113" s="74"/>
      <c r="AG113" s="85"/>
      <c r="AH113" s="73"/>
      <c r="AI113" s="74">
        <f>AI112+AB113</f>
        <v>0</v>
      </c>
      <c r="AJ113" s="74"/>
      <c r="AK113" s="74"/>
      <c r="AL113" s="74"/>
      <c r="AM113" s="74"/>
      <c r="AN113" s="85"/>
      <c r="AO113" s="73"/>
      <c r="AP113" s="74">
        <f>AP112+AI113</f>
        <v>0</v>
      </c>
      <c r="AQ113" s="74"/>
      <c r="AR113" s="74"/>
      <c r="AS113" s="74"/>
      <c r="AT113" s="74"/>
      <c r="AU113" s="85"/>
      <c r="AV113" s="73"/>
      <c r="AW113" s="74">
        <f>AW112+AP113</f>
        <v>0</v>
      </c>
      <c r="AX113" s="74"/>
      <c r="AY113" s="74">
        <f>Table4656565656565[[#This Row],[Column49]]*0.85</f>
        <v>0</v>
      </c>
      <c r="AZ113" s="69"/>
      <c r="BA113" s="31"/>
    </row>
  </sheetData>
  <mergeCells count="3">
    <mergeCell ref="A3:B3"/>
    <mergeCell ref="A14:B14"/>
    <mergeCell ref="A35:B35"/>
  </mergeCells>
  <conditionalFormatting sqref="G2:G9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:N9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9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9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9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9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69930555555555596" right="0.69930555555555596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MondayToAllDays">
                <anchor moveWithCells="1" sizeWithCells="1">
                  <from>
                    <xdr:col>52</xdr:col>
                    <xdr:colOff>228600</xdr:colOff>
                    <xdr:row>1</xdr:row>
                    <xdr:rowOff>76200</xdr:rowOff>
                  </from>
                  <to>
                    <xdr:col>52</xdr:col>
                    <xdr:colOff>1244600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perspective</vt:lpstr>
      <vt:lpstr>gcal</vt:lpstr>
      <vt:lpstr>gcal!allfreetime</vt:lpstr>
      <vt:lpstr>gcal!defaultweek</vt:lpstr>
      <vt:lpstr>gcal!endofdayfree</vt:lpstr>
      <vt:lpstr>FridayPlan</vt:lpstr>
      <vt:lpstr>gcal!index</vt:lpstr>
      <vt:lpstr>gcal!indexname</vt:lpstr>
      <vt:lpstr>gcal!longfree</vt:lpstr>
      <vt:lpstr>MondayPlan</vt:lpstr>
      <vt:lpstr>gcal!msecon</vt:lpstr>
      <vt:lpstr>gcal!pcexceptsleep</vt:lpstr>
      <vt:lpstr>SaturdayPlan</vt:lpstr>
      <vt:lpstr>gcal!sleep</vt:lpstr>
      <vt:lpstr>SundayPlan</vt:lpstr>
      <vt:lpstr>ThursedayPlan</vt:lpstr>
      <vt:lpstr>TuesdayPlan</vt:lpstr>
      <vt:lpstr>WednesdayPlan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Mahdi</dc:creator>
  <cp:lastModifiedBy>Mahdi Mir</cp:lastModifiedBy>
  <dcterms:created xsi:type="dcterms:W3CDTF">2019-09-19T23:36:00Z</dcterms:created>
  <dcterms:modified xsi:type="dcterms:W3CDTF">2021-05-16T09:40:29Z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1033-3.0.0.4876</vt:lpwstr>
  </property>
</Properties>
</file>